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U:\CRM\@ArthaAllocations\"/>
    </mc:Choice>
  </mc:AlternateContent>
  <xr:revisionPtr revIDLastSave="0" documentId="13_ncr:1_{8EBA8475-B36C-4549-9845-F61921DE91D7}" xr6:coauthVersionLast="47" xr6:coauthVersionMax="47" xr10:uidLastSave="{00000000-0000-0000-0000-000000000000}"/>
  <bookViews>
    <workbookView xWindow="62820" yWindow="4215" windowWidth="28710" windowHeight="22515" tabRatio="393" xr2:uid="{00000000-000D-0000-FFFF-FFFF00000000}"/>
  </bookViews>
  <sheets>
    <sheet name="EUR" sheetId="1" r:id="rId1"/>
    <sheet name="CHF" sheetId="4" r:id="rId2"/>
    <sheet name="USD" sheetId="5" r:id="rId3"/>
    <sheet name="GBP" sheetId="6" r:id="rId4"/>
  </sheets>
  <definedNames>
    <definedName name="_xlnm.Print_Area" localSheetId="1">CHF!$A$1:$M$39</definedName>
    <definedName name="_xlnm.Print_Area" localSheetId="0">EUR!$A$1:$M$39</definedName>
    <definedName name="_xlnm.Print_Area" localSheetId="3">GBP!$A$1:$M$39</definedName>
    <definedName name="_xlnm.Print_Area" localSheetId="2">USD!$A$1:$M$39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I16" i="1"/>
  <c r="G16" i="1"/>
  <c r="G8" i="1"/>
  <c r="I8" i="1"/>
  <c r="K8" i="1"/>
  <c r="M8" i="1"/>
  <c r="H6" i="1"/>
  <c r="F6" i="1"/>
  <c r="J8" i="1"/>
  <c r="F16" i="1"/>
  <c r="J38" i="6"/>
  <c r="I38" i="6"/>
  <c r="H37" i="6"/>
  <c r="G38" i="6"/>
  <c r="L38" i="6"/>
  <c r="M38" i="5"/>
  <c r="F38" i="5"/>
  <c r="L38" i="5"/>
  <c r="K38" i="5"/>
  <c r="J38" i="5"/>
  <c r="I38" i="5"/>
  <c r="H37" i="5"/>
  <c r="G38" i="5"/>
  <c r="F37" i="5"/>
  <c r="J39" i="4"/>
  <c r="F39" i="4"/>
  <c r="M39" i="4"/>
  <c r="L39" i="4"/>
  <c r="R29" i="1"/>
  <c r="M25" i="1"/>
  <c r="L25" i="1"/>
  <c r="L6" i="1" s="1"/>
  <c r="K25" i="1"/>
  <c r="J25" i="1"/>
  <c r="I25" i="1"/>
  <c r="H25" i="1"/>
  <c r="G25" i="1"/>
  <c r="M16" i="1"/>
  <c r="L16" i="1"/>
  <c r="J16" i="1"/>
  <c r="M6" i="1" l="1"/>
  <c r="K6" i="1"/>
  <c r="I6" i="1"/>
  <c r="J6" i="1"/>
  <c r="J5" i="1" s="1"/>
  <c r="M38" i="6"/>
  <c r="F38" i="6"/>
  <c r="H39" i="4"/>
  <c r="K38" i="6"/>
  <c r="J37" i="6"/>
  <c r="L37" i="6"/>
  <c r="H38" i="6"/>
  <c r="F37" i="6"/>
  <c r="H38" i="5"/>
  <c r="M37" i="6"/>
  <c r="K39" i="4"/>
  <c r="I37" i="6"/>
  <c r="K37" i="6"/>
  <c r="G37" i="6"/>
  <c r="J37" i="5"/>
  <c r="L37" i="5"/>
  <c r="M37" i="5"/>
  <c r="K37" i="5"/>
  <c r="G37" i="5"/>
  <c r="I37" i="5"/>
  <c r="M38" i="4"/>
  <c r="F38" i="4"/>
  <c r="H38" i="4"/>
  <c r="J38" i="4"/>
  <c r="L38" i="4"/>
  <c r="I39" i="4"/>
  <c r="G39" i="4"/>
  <c r="I38" i="4"/>
  <c r="L8" i="1"/>
  <c r="H8" i="1"/>
  <c r="M5" i="1"/>
  <c r="L5" i="1"/>
  <c r="H5" i="1"/>
  <c r="F5" i="1"/>
  <c r="F8" i="1"/>
  <c r="F25" i="1"/>
  <c r="G38" i="4" l="1"/>
  <c r="K38" i="4"/>
  <c r="L37" i="1"/>
  <c r="H37" i="1"/>
  <c r="M37" i="1"/>
  <c r="J37" i="1"/>
  <c r="S11" i="1"/>
  <c r="AF11" i="1"/>
  <c r="AE11" i="1"/>
  <c r="AD11" i="1"/>
  <c r="AC11" i="1"/>
  <c r="AB11" i="1"/>
  <c r="AA11" i="1"/>
  <c r="Z11" i="1"/>
  <c r="Y11" i="1"/>
  <c r="X11" i="1"/>
  <c r="W11" i="1"/>
  <c r="U11" i="1"/>
  <c r="T11" i="1"/>
  <c r="V8" i="1"/>
  <c r="V11" i="1" s="1"/>
  <c r="R8" i="1"/>
  <c r="R11" i="1" s="1"/>
  <c r="AG6" i="1"/>
  <c r="AG5" i="1"/>
  <c r="AG4" i="1"/>
  <c r="G37" i="1" l="1"/>
  <c r="K5" i="1"/>
  <c r="K37" i="1" s="1"/>
  <c r="I37" i="1"/>
  <c r="M38" i="1" l="1"/>
  <c r="L38" i="1"/>
  <c r="K38" i="1"/>
  <c r="J38" i="1"/>
  <c r="I38" i="1"/>
  <c r="F38" i="1"/>
  <c r="H38" i="1" l="1"/>
  <c r="G38" i="1"/>
  <c r="F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allAlloc" description="Connection to the 'allAlloc' query in the workbook." type="5" refreshedVersion="0" background="1">
    <dbPr connection="Provider=Microsoft.Mashup.OleDb.1;Data Source=$Workbook$;Location=allAlloc;Extended Properties=&quot;&quot;" command="SELECT * FROM [allAlloc]"/>
  </connection>
  <connection id="2" xr16:uid="{00000000-0015-0000-FFFF-FFFF01000000}" name="Query - allAlloc (2)" description="Connection to the 'allAlloc (2)' query in the workbook." type="5" refreshedVersion="6" background="1">
    <dbPr connection="Provider=Microsoft.Mashup.OleDb.1;Data Source=$Workbook$;Location=&quot;allAlloc (2)&quot;;Extended Properties=&quot;&quot;" command="SELECT * FROM [allAlloc (2)]"/>
  </connection>
  <connection id="3" xr16:uid="{00000000-0015-0000-FFFF-FFFF02000000}" name="Query - allAlloc (3)" description="Connection to the 'allAlloc (3)' query in the workbook." type="5" refreshedVersion="6" background="1">
    <dbPr connection="Provider=Microsoft.Mashup.OleDb.1;Data Source=$Workbook$;Location=&quot;allAlloc (3)&quot;;Extended Properties=&quot;&quot;" command="SELECT * FROM [allAlloc (3)]"/>
  </connection>
  <connection id="4" xr16:uid="{00000000-0015-0000-FFFF-FFFF03000000}" name="Query - allAlloc (4)" description="Connection to the 'allAlloc (4)' query in the workbook." type="5" refreshedVersion="6" background="1">
    <dbPr connection="Provider=Microsoft.Mashup.OleDb.1;Data Source=$Workbook$;Location=&quot;allAlloc (4)&quot;;Extended Properties=&quot;&quot;" command="SELECT * FROM [allAlloc (4)]"/>
  </connection>
  <connection id="5" xr16:uid="{00000000-0015-0000-FFFF-FFFF04000000}" name="Query - allAlloc (5)" description="Connection to the 'allAlloc (5)' query in the workbook." type="5" refreshedVersion="6" background="1">
    <dbPr connection="Provider=Microsoft.Mashup.OleDb.1;Data Source=$Workbook$;Location=&quot;allAlloc (5)&quot;;Extended Properties=&quot;&quot;" command="SELECT * FROM [allAlloc (5)]"/>
  </connection>
  <connection id="6" xr16:uid="{00000000-0015-0000-FFFF-FFFF05000000}" name="Query - connectToAllAlloc" description="Connection to the 'connectToAllAlloc' query in the workbook." type="5" refreshedVersion="6" background="1" saveData="1">
    <dbPr connection="Provider=Microsoft.Mashup.OleDb.1;Data Source=$Workbook$;Location=connectToAllAlloc;Extended Properties=&quot;&quot;" command="SELECT * FROM [connectToAllAlloc]"/>
  </connection>
</connections>
</file>

<file path=xl/sharedStrings.xml><?xml version="1.0" encoding="utf-8"?>
<sst xmlns="http://schemas.openxmlformats.org/spreadsheetml/2006/main" count="436" uniqueCount="99">
  <si>
    <t>Cash&amp;MM</t>
  </si>
  <si>
    <t>Cash</t>
  </si>
  <si>
    <t>Equities</t>
  </si>
  <si>
    <t>Japan</t>
  </si>
  <si>
    <t>Asia/China</t>
  </si>
  <si>
    <t>Bonds</t>
  </si>
  <si>
    <t>Loans</t>
  </si>
  <si>
    <t>Credit</t>
  </si>
  <si>
    <t>Alternatives</t>
  </si>
  <si>
    <t>CTA</t>
  </si>
  <si>
    <t>Tactical</t>
  </si>
  <si>
    <t>Strategical</t>
  </si>
  <si>
    <t>Allocation</t>
  </si>
  <si>
    <t>Conservative</t>
  </si>
  <si>
    <t>Income</t>
  </si>
  <si>
    <t>Balanced</t>
  </si>
  <si>
    <t>Aggressive</t>
  </si>
  <si>
    <t>Instrument</t>
  </si>
  <si>
    <t>Sectorial</t>
  </si>
  <si>
    <t>SingleStock</t>
  </si>
  <si>
    <t>GlobalCredit</t>
  </si>
  <si>
    <t>PrivateLoan</t>
  </si>
  <si>
    <t>EUR</t>
  </si>
  <si>
    <t>HighYield</t>
  </si>
  <si>
    <t>SingleBond</t>
  </si>
  <si>
    <t>Equity L/S</t>
  </si>
  <si>
    <t>Metal</t>
  </si>
  <si>
    <t>SingleHedgeFund</t>
  </si>
  <si>
    <t>Total Invested</t>
  </si>
  <si>
    <t>FxHedging</t>
  </si>
  <si>
    <t>Fx Risk</t>
  </si>
  <si>
    <t>CHF</t>
  </si>
  <si>
    <t>USD</t>
  </si>
  <si>
    <t>GBP</t>
  </si>
  <si>
    <t>AssetClass</t>
  </si>
  <si>
    <t>AssetType</t>
  </si>
  <si>
    <t>DREQUIA LX Equity</t>
  </si>
  <si>
    <t>AREIIBA LX Equity</t>
  </si>
  <si>
    <t>IJPE LN Equity</t>
  </si>
  <si>
    <t>DRGLCRA LX Equity</t>
  </si>
  <si>
    <t>LIARBA5 ID Equity</t>
  </si>
  <si>
    <t>ESLDILA LX Equity</t>
  </si>
  <si>
    <t>MLAQSEI ID Equity</t>
  </si>
  <si>
    <t>Convertible</t>
  </si>
  <si>
    <t>Emerging</t>
  </si>
  <si>
    <t>EEM US Equity</t>
  </si>
  <si>
    <t>Dharmaresearch Dr Equity-A</t>
  </si>
  <si>
    <t>Ishares Msci Jpn Month Eur-H</t>
  </si>
  <si>
    <t>Ishares Msci Emerging Market</t>
  </si>
  <si>
    <t>Dharmaresearch Sa-Dr Gl Cr-A</t>
  </si>
  <si>
    <t>Liontrust Gf Abs Ret Bd-A5D</t>
  </si>
  <si>
    <t>Esl Direct Lending-A</t>
  </si>
  <si>
    <t>Ml Alphaquest Ucit-Eur Inst</t>
  </si>
  <si>
    <t>FxFwd</t>
  </si>
  <si>
    <t>Ticker</t>
  </si>
  <si>
    <t>Curncy</t>
  </si>
  <si>
    <t>Prima Capital Fund</t>
  </si>
  <si>
    <t>PRMCAPD VI Equity</t>
  </si>
  <si>
    <t>One River</t>
  </si>
  <si>
    <t>US+EU</t>
  </si>
  <si>
    <t>Now</t>
  </si>
  <si>
    <t>Alpha</t>
  </si>
  <si>
    <t>Gold</t>
  </si>
  <si>
    <t>Prima</t>
  </si>
  <si>
    <t>CH</t>
  </si>
  <si>
    <t>DEQ</t>
  </si>
  <si>
    <t>MZShtDur</t>
  </si>
  <si>
    <t>Arcano</t>
  </si>
  <si>
    <t>Dharma</t>
  </si>
  <si>
    <t>Lion</t>
  </si>
  <si>
    <t>ESL</t>
  </si>
  <si>
    <t>gdk</t>
  </si>
  <si>
    <t>aevis</t>
  </si>
  <si>
    <t>other</t>
  </si>
  <si>
    <t>Total</t>
  </si>
  <si>
    <t>Cur</t>
  </si>
  <si>
    <t>target</t>
  </si>
  <si>
    <t>OneRiver</t>
  </si>
  <si>
    <t>Conservateur</t>
  </si>
  <si>
    <t>Special</t>
  </si>
  <si>
    <t>we decided for a tolerance of 1% fluctuation over/under those tactical allocations</t>
  </si>
  <si>
    <t xml:space="preserve"> </t>
  </si>
  <si>
    <t>.ONE KY Equity</t>
  </si>
  <si>
    <t>Arcano Europ Inc Esg Ba</t>
  </si>
  <si>
    <t>USD/EUR 06/22/2023 Curncy</t>
  </si>
  <si>
    <t>ETRA GOLD ETF</t>
  </si>
  <si>
    <t>4GLD GR Equity</t>
  </si>
  <si>
    <t>USD/CHF 06/22/2023 Curncy</t>
  </si>
  <si>
    <t>EUR/CHF 06/22/2023 Curncy</t>
  </si>
  <si>
    <t>EUR/USD 06/22/2023 Curncy</t>
  </si>
  <si>
    <t>EUR/GBP 06/22/2023 Curncy</t>
  </si>
  <si>
    <t>Govt</t>
  </si>
  <si>
    <t>EUNH GR Equity</t>
  </si>
  <si>
    <t>iShare Core Euro Govt</t>
  </si>
  <si>
    <t>USD/CHF 09/22/2023</t>
  </si>
  <si>
    <t>EUR/CHF 09/22/2023</t>
  </si>
  <si>
    <t>EUR/USD 09/22/2023</t>
  </si>
  <si>
    <t>EUR/GBP 06/29/2023</t>
  </si>
  <si>
    <t>USD/EUR 06/24/24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</si>
</sst>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_ * #,##0.0_ ;_ * \-#,##0.0_ ;_ * &quot;-&quot;??_ ;_ @_ "/>
    <numFmt numFmtId="166" formatCode="_-* #,##0\ _C_H_F_-;\-* #,##0\ _C_H_F_-;_-* &quot;-&quot;??\ _C_H_F_-;_-@_-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bgColor theme="4" tint="0.79998168889431442"/>
      </patternFill>
    </fill>
    <fill>
      <patternFill patternType="gray0625">
        <bgColor theme="4" tint="0.59999389629810485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164" fontId="3" fillId="0" borderId="0" xfId="1" applyFont="1"/>
    <xf numFmtId="0" fontId="3" fillId="0" borderId="0" xfId="0" applyFont="1" applyAlignment="1">
      <alignment vertical="center" wrapText="1"/>
    </xf>
    <xf numFmtId="0" fontId="3" fillId="0" borderId="10" xfId="0" applyFont="1" applyBorder="1"/>
    <xf numFmtId="0" fontId="0" fillId="0" borderId="10" xfId="0" applyBorder="1"/>
    <xf numFmtId="0" fontId="0" fillId="0" borderId="12" xfId="0" applyBorder="1"/>
    <xf numFmtId="0" fontId="3" fillId="0" borderId="12" xfId="0" applyFont="1" applyBorder="1"/>
    <xf numFmtId="164" fontId="3" fillId="0" borderId="12" xfId="1" applyFont="1" applyBorder="1"/>
    <xf numFmtId="0" fontId="3" fillId="0" borderId="7" xfId="0" applyFont="1" applyBorder="1"/>
    <xf numFmtId="0" fontId="0" fillId="0" borderId="7" xfId="0" applyBorder="1"/>
    <xf numFmtId="164" fontId="3" fillId="0" borderId="7" xfId="1" applyFont="1" applyBorder="1"/>
    <xf numFmtId="164" fontId="3" fillId="0" borderId="0" xfId="1" applyFont="1" applyBorder="1"/>
    <xf numFmtId="0" fontId="0" fillId="0" borderId="1" xfId="0" applyBorder="1"/>
    <xf numFmtId="0" fontId="0" fillId="0" borderId="13" xfId="0" applyBorder="1"/>
    <xf numFmtId="0" fontId="3" fillId="0" borderId="2" xfId="0" applyFont="1" applyBorder="1"/>
    <xf numFmtId="0" fontId="3" fillId="0" borderId="8" xfId="0" applyFont="1" applyBorder="1"/>
    <xf numFmtId="0" fontId="0" fillId="0" borderId="8" xfId="0" applyBorder="1"/>
    <xf numFmtId="0" fontId="0" fillId="0" borderId="17" xfId="0" applyBorder="1"/>
    <xf numFmtId="165" fontId="3" fillId="4" borderId="2" xfId="1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65" fontId="0" fillId="4" borderId="18" xfId="1" applyNumberFormat="1" applyFont="1" applyFill="1" applyBorder="1"/>
    <xf numFmtId="165" fontId="0" fillId="2" borderId="5" xfId="1" applyNumberFormat="1" applyFont="1" applyFill="1" applyBorder="1"/>
    <xf numFmtId="165" fontId="3" fillId="4" borderId="19" xfId="1" applyNumberFormat="1" applyFont="1" applyFill="1" applyBorder="1"/>
    <xf numFmtId="165" fontId="3" fillId="2" borderId="6" xfId="1" applyNumberFormat="1" applyFont="1" applyFill="1" applyBorder="1"/>
    <xf numFmtId="165" fontId="2" fillId="4" borderId="20" xfId="1" applyNumberFormat="1" applyFont="1" applyFill="1" applyBorder="1"/>
    <xf numFmtId="165" fontId="2" fillId="2" borderId="3" xfId="1" applyNumberFormat="1" applyFont="1" applyFill="1" applyBorder="1"/>
    <xf numFmtId="165" fontId="2" fillId="4" borderId="18" xfId="1" applyNumberFormat="1" applyFont="1" applyFill="1" applyBorder="1"/>
    <xf numFmtId="165" fontId="2" fillId="2" borderId="5" xfId="1" applyNumberFormat="1" applyFont="1" applyFill="1" applyBorder="1"/>
    <xf numFmtId="165" fontId="2" fillId="4" borderId="21" xfId="1" applyNumberFormat="1" applyFont="1" applyFill="1" applyBorder="1"/>
    <xf numFmtId="165" fontId="2" fillId="2" borderId="4" xfId="1" applyNumberFormat="1" applyFont="1" applyFill="1" applyBorder="1"/>
    <xf numFmtId="165" fontId="0" fillId="5" borderId="1" xfId="1" applyNumberFormat="1" applyFont="1" applyFill="1" applyBorder="1"/>
    <xf numFmtId="165" fontId="0" fillId="3" borderId="11" xfId="1" applyNumberFormat="1" applyFont="1" applyFill="1" applyBorder="1"/>
    <xf numFmtId="165" fontId="3" fillId="5" borderId="18" xfId="1" applyNumberFormat="1" applyFont="1" applyFill="1" applyBorder="1"/>
    <xf numFmtId="165" fontId="3" fillId="3" borderId="5" xfId="1" applyNumberFormat="1" applyFont="1" applyFill="1" applyBorder="1"/>
    <xf numFmtId="165" fontId="3" fillId="5" borderId="2" xfId="1" applyNumberFormat="1" applyFont="1" applyFill="1" applyBorder="1"/>
    <xf numFmtId="165" fontId="3" fillId="3" borderId="9" xfId="1" applyNumberFormat="1" applyFont="1" applyFill="1" applyBorder="1"/>
    <xf numFmtId="165" fontId="4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9" fontId="0" fillId="0" borderId="0" xfId="0" applyNumberFormat="1"/>
    <xf numFmtId="164" fontId="0" fillId="0" borderId="0" xfId="1" applyFont="1"/>
    <xf numFmtId="166" fontId="0" fillId="0" borderId="0" xfId="0" applyNumberFormat="1"/>
    <xf numFmtId="167" fontId="0" fillId="0" borderId="0" xfId="1" applyNumberFormat="1" applyFont="1"/>
    <xf numFmtId="0" fontId="2" fillId="0" borderId="0" xfId="0" applyFont="1"/>
    <xf numFmtId="165" fontId="0" fillId="4" borderId="19" xfId="1" applyNumberFormat="1" applyFont="1" applyFill="1" applyBorder="1"/>
    <xf numFmtId="165" fontId="0" fillId="2" borderId="6" xfId="1" applyNumberFormat="1" applyFont="1" applyFill="1" applyBorder="1"/>
    <xf numFmtId="165" fontId="3" fillId="4" borderId="20" xfId="1" applyNumberFormat="1" applyFont="1" applyFill="1" applyBorder="1"/>
    <xf numFmtId="165" fontId="3" fillId="2" borderId="3" xfId="1" applyNumberFormat="1" applyFont="1" applyFill="1" applyBorder="1"/>
    <xf numFmtId="164" fontId="0" fillId="0" borderId="0" xfId="0" applyNumberFormat="1"/>
    <xf numFmtId="164" fontId="0" fillId="6" borderId="0" xfId="1" applyFont="1" applyFill="1"/>
    <xf numFmtId="10" fontId="0" fillId="0" borderId="0" xfId="0" applyNumberFormat="1"/>
    <xf numFmtId="167" fontId="0" fillId="0" borderId="0" xfId="0" applyNumberFormat="1"/>
    <xf numFmtId="165" fontId="3" fillId="3" borderId="16" xfId="0" applyNumberFormat="1" applyFont="1" applyFill="1" applyBorder="1" applyAlignment="1">
      <alignment horizontal="center"/>
    </xf>
    <xf numFmtId="165" fontId="3" fillId="3" borderId="14" xfId="0" applyNumberFormat="1" applyFont="1" applyFill="1" applyBorder="1" applyAlignment="1">
      <alignment horizontal="center"/>
    </xf>
    <xf numFmtId="165" fontId="3" fillId="3" borderId="15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1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5"/>
  <sheetViews>
    <sheetView showGridLines="0" tabSelected="1" zoomScale="130" zoomScaleNormal="130" workbookViewId="0">
      <selection activeCell="M17" sqref="M17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  <col min="16" max="16" width="18.28515625" style="42" customWidth="1"/>
    <col min="17" max="17" width="6.28515625" bestFit="1" customWidth="1"/>
    <col min="18" max="18" width="9.28515625" bestFit="1" customWidth="1"/>
    <col min="19" max="19" width="9.28515625" customWidth="1"/>
    <col min="20" max="22" width="9.28515625" bestFit="1" customWidth="1"/>
    <col min="23" max="24" width="9" bestFit="1" customWidth="1"/>
    <col min="25" max="25" width="7.28515625" bestFit="1" customWidth="1"/>
    <col min="26" max="26" width="9.28515625" bestFit="1" customWidth="1"/>
    <col min="27" max="27" width="9.7109375" bestFit="1" customWidth="1"/>
    <col min="28" max="28" width="8.28515625" bestFit="1" customWidth="1"/>
    <col min="29" max="29" width="10.7109375" bestFit="1" customWidth="1"/>
    <col min="30" max="31" width="9" bestFit="1" customWidth="1"/>
    <col min="32" max="32" width="10.7109375" bestFit="1" customWidth="1"/>
    <col min="33" max="33" width="7" bestFit="1" customWidth="1"/>
  </cols>
  <sheetData>
    <row r="1" spans="1:3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3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  <c r="R2" t="s">
        <v>60</v>
      </c>
    </row>
    <row r="3" spans="1:3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  <c r="P3" s="42" t="s">
        <v>75</v>
      </c>
      <c r="R3" t="s">
        <v>61</v>
      </c>
      <c r="S3" t="s">
        <v>77</v>
      </c>
      <c r="T3" t="s">
        <v>70</v>
      </c>
      <c r="U3" t="s">
        <v>62</v>
      </c>
      <c r="V3" t="s">
        <v>63</v>
      </c>
      <c r="W3" t="s">
        <v>64</v>
      </c>
      <c r="Y3" t="s">
        <v>73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F3" t="s">
        <v>1</v>
      </c>
    </row>
    <row r="4" spans="1:33" x14ac:dyDescent="0.25">
      <c r="F4" s="22"/>
      <c r="G4" s="23"/>
      <c r="H4" s="22"/>
      <c r="I4" s="23"/>
      <c r="J4" s="22"/>
      <c r="K4" s="23"/>
      <c r="L4" s="22"/>
      <c r="M4" s="23"/>
      <c r="P4" s="42">
        <v>17987198</v>
      </c>
      <c r="Q4" t="s">
        <v>31</v>
      </c>
      <c r="R4">
        <v>2.11</v>
      </c>
      <c r="U4">
        <v>2.79</v>
      </c>
      <c r="V4">
        <v>1.63</v>
      </c>
      <c r="W4">
        <v>2.19</v>
      </c>
      <c r="X4" t="s">
        <v>71</v>
      </c>
      <c r="Z4">
        <v>21.3</v>
      </c>
      <c r="AA4">
        <v>2.12</v>
      </c>
      <c r="AB4">
        <v>2.73</v>
      </c>
      <c r="AC4">
        <v>29.38</v>
      </c>
      <c r="AD4">
        <v>1.64</v>
      </c>
      <c r="AF4">
        <v>34</v>
      </c>
      <c r="AG4">
        <f>SUM(R4:AF4)</f>
        <v>99.89</v>
      </c>
    </row>
    <row r="5" spans="1:33" x14ac:dyDescent="0.25">
      <c r="A5" s="5" t="s">
        <v>0</v>
      </c>
      <c r="B5" s="5"/>
      <c r="C5" s="5"/>
      <c r="D5" s="6"/>
      <c r="E5" s="6"/>
      <c r="F5" s="24">
        <f>F6</f>
        <v>5</v>
      </c>
      <c r="G5" s="25">
        <v>5</v>
      </c>
      <c r="H5" s="24">
        <f t="shared" ref="H5:L5" si="0">H6</f>
        <v>5</v>
      </c>
      <c r="I5" s="25">
        <v>5</v>
      </c>
      <c r="J5" s="24">
        <f t="shared" si="0"/>
        <v>3</v>
      </c>
      <c r="K5" s="25">
        <f>K6</f>
        <v>3</v>
      </c>
      <c r="L5" s="24">
        <f t="shared" si="0"/>
        <v>1</v>
      </c>
      <c r="M5" s="25">
        <f>M6</f>
        <v>3</v>
      </c>
      <c r="P5" s="42">
        <v>16541553</v>
      </c>
      <c r="Q5" t="s">
        <v>22</v>
      </c>
      <c r="R5">
        <v>3.17</v>
      </c>
      <c r="T5">
        <v>2.44</v>
      </c>
      <c r="U5">
        <v>2.85</v>
      </c>
      <c r="V5">
        <v>2.95</v>
      </c>
      <c r="W5">
        <v>2.88</v>
      </c>
      <c r="X5" t="s">
        <v>72</v>
      </c>
      <c r="Y5">
        <v>0.04</v>
      </c>
      <c r="Z5">
        <v>27.78</v>
      </c>
      <c r="AB5">
        <v>4.87</v>
      </c>
      <c r="AC5">
        <v>28</v>
      </c>
      <c r="AD5">
        <v>0.47</v>
      </c>
      <c r="AF5">
        <v>25</v>
      </c>
      <c r="AG5">
        <f>SUM(R5:AF5)</f>
        <v>100.44999999999999</v>
      </c>
    </row>
    <row r="6" spans="1:33" x14ac:dyDescent="0.25">
      <c r="A6" s="7"/>
      <c r="B6" s="8" t="s">
        <v>1</v>
      </c>
      <c r="C6" s="8" t="s">
        <v>1</v>
      </c>
      <c r="D6" s="9" t="s">
        <v>1</v>
      </c>
      <c r="E6" s="9" t="s">
        <v>22</v>
      </c>
      <c r="F6" s="26">
        <f t="shared" ref="F6" si="1">100-F16-F8-F25</f>
        <v>5</v>
      </c>
      <c r="G6" s="27">
        <v>5</v>
      </c>
      <c r="H6" s="26">
        <f t="shared" ref="H6:M6" si="2">100-H16-H8-H25</f>
        <v>5</v>
      </c>
      <c r="I6" s="27">
        <f t="shared" si="2"/>
        <v>5</v>
      </c>
      <c r="J6" s="26">
        <f t="shared" si="2"/>
        <v>3</v>
      </c>
      <c r="K6" s="27">
        <f t="shared" si="2"/>
        <v>3</v>
      </c>
      <c r="L6" s="26">
        <f t="shared" si="2"/>
        <v>1</v>
      </c>
      <c r="M6" s="27">
        <f t="shared" si="2"/>
        <v>3</v>
      </c>
      <c r="P6" s="42">
        <v>4746223</v>
      </c>
      <c r="Q6" t="s">
        <v>32</v>
      </c>
      <c r="R6">
        <v>3.19</v>
      </c>
      <c r="U6">
        <v>3.54</v>
      </c>
      <c r="V6">
        <v>2.37</v>
      </c>
      <c r="Z6">
        <v>26.91</v>
      </c>
      <c r="AC6">
        <v>22.93</v>
      </c>
      <c r="AF6">
        <v>41</v>
      </c>
      <c r="AG6">
        <f>SUM(R6:AF6)</f>
        <v>99.94</v>
      </c>
    </row>
    <row r="7" spans="1:33" x14ac:dyDescent="0.25">
      <c r="F7" s="22"/>
      <c r="G7" s="23"/>
      <c r="H7" s="22"/>
      <c r="I7" s="23"/>
      <c r="J7" s="22"/>
      <c r="K7" s="23"/>
      <c r="L7" s="22"/>
      <c r="M7" s="23"/>
    </row>
    <row r="8" spans="1:33" x14ac:dyDescent="0.25">
      <c r="A8" s="8" t="s">
        <v>2</v>
      </c>
      <c r="B8" s="8"/>
      <c r="C8" s="8"/>
      <c r="D8" s="7"/>
      <c r="E8" s="9"/>
      <c r="F8" s="48">
        <f>SUM(F9:F14)</f>
        <v>20</v>
      </c>
      <c r="G8" s="49">
        <f t="shared" ref="G8:M8" si="3">SUM(G9:G14)</f>
        <v>17</v>
      </c>
      <c r="H8" s="48">
        <f t="shared" si="3"/>
        <v>30</v>
      </c>
      <c r="I8" s="49">
        <f t="shared" si="3"/>
        <v>25</v>
      </c>
      <c r="J8" s="48">
        <f t="shared" si="3"/>
        <v>51</v>
      </c>
      <c r="K8" s="49">
        <f t="shared" si="3"/>
        <v>42</v>
      </c>
      <c r="L8" s="48">
        <f t="shared" si="3"/>
        <v>75</v>
      </c>
      <c r="M8" s="49">
        <f t="shared" si="3"/>
        <v>60</v>
      </c>
      <c r="P8" s="42">
        <v>45149169</v>
      </c>
      <c r="Q8" t="s">
        <v>74</v>
      </c>
      <c r="R8">
        <f>0.67+1.24+0.84</f>
        <v>2.75</v>
      </c>
      <c r="T8">
        <v>1.23</v>
      </c>
      <c r="U8">
        <v>2.89</v>
      </c>
      <c r="V8">
        <f>0.52+1.2+0.65</f>
        <v>2.37</v>
      </c>
      <c r="W8">
        <v>2.33</v>
      </c>
      <c r="Y8">
        <v>0.02</v>
      </c>
      <c r="Z8">
        <v>24.24</v>
      </c>
      <c r="AA8">
        <v>0.84</v>
      </c>
      <c r="AB8">
        <v>3.54</v>
      </c>
      <c r="AC8">
        <v>28.06</v>
      </c>
      <c r="AD8">
        <v>0.89</v>
      </c>
      <c r="AF8">
        <v>31</v>
      </c>
    </row>
    <row r="9" spans="1:3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17</v>
      </c>
      <c r="H9" s="28">
        <v>23</v>
      </c>
      <c r="I9" s="29">
        <v>25</v>
      </c>
      <c r="J9" s="28">
        <v>42</v>
      </c>
      <c r="K9" s="29">
        <v>42</v>
      </c>
      <c r="L9" s="28">
        <v>62</v>
      </c>
      <c r="M9" s="29">
        <v>60</v>
      </c>
    </row>
    <row r="10" spans="1:3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3</v>
      </c>
      <c r="K10" s="29"/>
      <c r="L10" s="28">
        <v>5</v>
      </c>
      <c r="M10" s="29"/>
      <c r="Q10" s="45" t="s">
        <v>76</v>
      </c>
      <c r="R10" s="45">
        <v>3</v>
      </c>
      <c r="S10" s="45">
        <v>3</v>
      </c>
      <c r="T10" s="45">
        <v>3</v>
      </c>
      <c r="U10" s="45">
        <v>4</v>
      </c>
      <c r="V10" s="45">
        <v>3</v>
      </c>
      <c r="W10" s="45">
        <v>2.33</v>
      </c>
      <c r="X10" s="45"/>
      <c r="Y10" s="45"/>
      <c r="Z10" s="45">
        <v>25</v>
      </c>
      <c r="AA10" s="45">
        <v>0</v>
      </c>
      <c r="AB10" s="45">
        <v>3.5</v>
      </c>
      <c r="AC10" s="45">
        <v>35</v>
      </c>
      <c r="AD10" s="45">
        <v>0.89</v>
      </c>
      <c r="AE10" s="45"/>
      <c r="AF10" s="45">
        <v>20</v>
      </c>
    </row>
    <row r="11" spans="1:3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3</v>
      </c>
      <c r="K11" s="29"/>
      <c r="L11" s="28">
        <v>5</v>
      </c>
      <c r="M11" s="29"/>
      <c r="N11" s="52"/>
      <c r="O11" s="52"/>
      <c r="R11" s="43">
        <f>ROUND((R10-R8)*$P$8%/1000,0)</f>
        <v>113</v>
      </c>
      <c r="S11" s="44">
        <f>ROUND((S10-S8)*$P$8%/1000,0)</f>
        <v>1354</v>
      </c>
      <c r="T11" s="43">
        <f t="shared" ref="T11:AF11" si="4">ROUND((T10-T8)*$P$8%/1000,0)</f>
        <v>799</v>
      </c>
      <c r="U11" s="43">
        <f t="shared" si="4"/>
        <v>501</v>
      </c>
      <c r="V11" s="43">
        <f t="shared" si="4"/>
        <v>284</v>
      </c>
      <c r="W11" s="43">
        <f t="shared" si="4"/>
        <v>0</v>
      </c>
      <c r="X11" s="43">
        <f t="shared" si="4"/>
        <v>0</v>
      </c>
      <c r="Y11" s="43">
        <f t="shared" si="4"/>
        <v>-9</v>
      </c>
      <c r="Z11" s="43">
        <f t="shared" si="4"/>
        <v>343</v>
      </c>
      <c r="AA11" s="43">
        <f t="shared" si="4"/>
        <v>-379</v>
      </c>
      <c r="AB11" s="43">
        <f t="shared" si="4"/>
        <v>-18</v>
      </c>
      <c r="AC11" s="43">
        <f t="shared" si="4"/>
        <v>3133</v>
      </c>
      <c r="AD11" s="43">
        <f t="shared" si="4"/>
        <v>0</v>
      </c>
      <c r="AE11" s="43">
        <f t="shared" si="4"/>
        <v>0</v>
      </c>
      <c r="AF11" s="43">
        <f t="shared" si="4"/>
        <v>-4966</v>
      </c>
    </row>
    <row r="12" spans="1:3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3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3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3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  <c r="P15" s="42" t="s">
        <v>14</v>
      </c>
      <c r="R15">
        <v>4.2</v>
      </c>
      <c r="U15">
        <v>5.4</v>
      </c>
      <c r="V15">
        <v>3.2</v>
      </c>
      <c r="Z15">
        <v>23.7</v>
      </c>
      <c r="AA15">
        <v>5.5</v>
      </c>
      <c r="AB15">
        <v>4.7</v>
      </c>
      <c r="AC15">
        <v>38.200000000000003</v>
      </c>
      <c r="AD15">
        <v>3.3</v>
      </c>
    </row>
    <row r="16" spans="1:33" x14ac:dyDescent="0.25">
      <c r="A16" s="8" t="s">
        <v>5</v>
      </c>
      <c r="B16" s="8"/>
      <c r="C16" s="8"/>
      <c r="D16" s="8"/>
      <c r="E16" s="7"/>
      <c r="F16" s="48">
        <f>SUM(F17:F23)</f>
        <v>56</v>
      </c>
      <c r="G16" s="49">
        <f t="shared" ref="G16:M16" si="5">SUM(G17:G23)</f>
        <v>59</v>
      </c>
      <c r="H16" s="48">
        <v>45</v>
      </c>
      <c r="I16" s="49">
        <f t="shared" si="5"/>
        <v>50</v>
      </c>
      <c r="J16" s="48">
        <f t="shared" si="5"/>
        <v>28</v>
      </c>
      <c r="K16" s="49">
        <f t="shared" si="5"/>
        <v>37</v>
      </c>
      <c r="L16" s="48">
        <f t="shared" si="5"/>
        <v>10</v>
      </c>
      <c r="M16" s="49">
        <f t="shared" si="5"/>
        <v>22</v>
      </c>
      <c r="P16" s="42" t="s">
        <v>78</v>
      </c>
      <c r="R16">
        <v>4.5999999999999996</v>
      </c>
      <c r="U16">
        <v>3.4</v>
      </c>
      <c r="V16">
        <v>3.5</v>
      </c>
      <c r="Z16">
        <v>33.9</v>
      </c>
      <c r="AB16">
        <v>8.6</v>
      </c>
      <c r="AC16">
        <v>39.299999999999997</v>
      </c>
    </row>
    <row r="17" spans="1:29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50</v>
      </c>
      <c r="G17" s="31">
        <v>53</v>
      </c>
      <c r="H17" s="30">
        <v>42</v>
      </c>
      <c r="I17" s="31">
        <v>44</v>
      </c>
      <c r="J17" s="30">
        <v>24</v>
      </c>
      <c r="K17" s="31">
        <v>33</v>
      </c>
      <c r="L17" s="30">
        <v>10</v>
      </c>
      <c r="M17" s="31">
        <v>22</v>
      </c>
      <c r="P17" s="42" t="s">
        <v>15</v>
      </c>
      <c r="R17">
        <v>3.9</v>
      </c>
      <c r="U17">
        <v>5.3</v>
      </c>
      <c r="V17">
        <v>3.1</v>
      </c>
      <c r="Z17">
        <v>31.9</v>
      </c>
      <c r="AC17">
        <v>15.9</v>
      </c>
    </row>
    <row r="18" spans="1:29" x14ac:dyDescent="0.25">
      <c r="A18" s="2"/>
      <c r="B18" s="2" t="s">
        <v>7</v>
      </c>
      <c r="C18" t="s">
        <v>40</v>
      </c>
      <c r="D18" s="2"/>
      <c r="E18" s="13" t="s">
        <v>22</v>
      </c>
      <c r="F18" s="28"/>
      <c r="G18" s="29"/>
      <c r="H18" s="28"/>
      <c r="I18" s="29"/>
      <c r="J18" s="28"/>
      <c r="K18" s="29"/>
      <c r="L18" s="28"/>
      <c r="M18" s="29"/>
      <c r="P18" s="42" t="s">
        <v>16</v>
      </c>
    </row>
    <row r="19" spans="1:29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  <c r="N19" s="41"/>
      <c r="O19" s="41"/>
      <c r="P19" s="42" t="s">
        <v>79</v>
      </c>
    </row>
    <row r="20" spans="1:29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29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29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29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29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29" x14ac:dyDescent="0.25">
      <c r="A25" s="8" t="s">
        <v>8</v>
      </c>
      <c r="B25" s="8"/>
      <c r="C25" s="8"/>
      <c r="D25" s="8"/>
      <c r="E25" s="7"/>
      <c r="F25" s="48">
        <f>SUM(F26:F31)</f>
        <v>19</v>
      </c>
      <c r="G25" s="49">
        <f t="shared" ref="G25:M25" si="6">SUM(G26:G31)</f>
        <v>19</v>
      </c>
      <c r="H25" s="48">
        <f t="shared" si="6"/>
        <v>20</v>
      </c>
      <c r="I25" s="49">
        <f t="shared" si="6"/>
        <v>20</v>
      </c>
      <c r="J25" s="48">
        <f t="shared" si="6"/>
        <v>18</v>
      </c>
      <c r="K25" s="49">
        <f t="shared" si="6"/>
        <v>18</v>
      </c>
      <c r="L25" s="48">
        <f t="shared" si="6"/>
        <v>14</v>
      </c>
      <c r="M25" s="49">
        <f t="shared" si="6"/>
        <v>15</v>
      </c>
    </row>
    <row r="26" spans="1:29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3</v>
      </c>
      <c r="I26" s="29">
        <v>3</v>
      </c>
      <c r="J26" s="28">
        <v>3</v>
      </c>
      <c r="K26" s="29">
        <v>3</v>
      </c>
      <c r="L26" s="28">
        <v>3</v>
      </c>
      <c r="M26" s="29">
        <v>3</v>
      </c>
    </row>
    <row r="27" spans="1:29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4</v>
      </c>
      <c r="G27" s="29">
        <v>4</v>
      </c>
      <c r="H27" s="28">
        <v>5</v>
      </c>
      <c r="I27" s="29">
        <v>5</v>
      </c>
      <c r="J27" s="28">
        <v>5</v>
      </c>
      <c r="K27" s="29">
        <v>5</v>
      </c>
      <c r="L27" s="28">
        <v>5</v>
      </c>
      <c r="M27" s="29">
        <v>5</v>
      </c>
      <c r="P27" s="51"/>
    </row>
    <row r="28" spans="1:29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3</v>
      </c>
      <c r="G28" s="29">
        <v>3</v>
      </c>
      <c r="H28" s="28">
        <v>3</v>
      </c>
      <c r="I28" s="29">
        <v>3</v>
      </c>
      <c r="J28" s="28">
        <v>3</v>
      </c>
      <c r="K28" s="29">
        <v>3</v>
      </c>
      <c r="L28" s="28">
        <v>3</v>
      </c>
      <c r="M28" s="29">
        <v>3</v>
      </c>
      <c r="N28" s="52"/>
      <c r="O28" s="52"/>
      <c r="P28" s="51"/>
    </row>
    <row r="29" spans="1:29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4</v>
      </c>
      <c r="G29" s="29">
        <v>4</v>
      </c>
      <c r="H29" s="28">
        <v>4</v>
      </c>
      <c r="I29" s="29">
        <v>4</v>
      </c>
      <c r="J29" s="28">
        <v>4</v>
      </c>
      <c r="K29" s="29">
        <v>4</v>
      </c>
      <c r="L29" s="28">
        <v>3</v>
      </c>
      <c r="M29" s="29">
        <v>4</v>
      </c>
      <c r="N29" s="53"/>
      <c r="O29" s="53"/>
      <c r="P29" s="51">
        <v>10</v>
      </c>
      <c r="R29" s="50">
        <f>SUM(P27:P40)</f>
        <v>27.5</v>
      </c>
    </row>
    <row r="30" spans="1:29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  <c r="P30" s="51">
        <v>3</v>
      </c>
    </row>
    <row r="31" spans="1:29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  <c r="P31" s="51">
        <v>1.5</v>
      </c>
    </row>
    <row r="32" spans="1:29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  <c r="P32" s="51">
        <v>6</v>
      </c>
    </row>
    <row r="33" spans="1:16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  <c r="P33" s="51">
        <v>7</v>
      </c>
    </row>
    <row r="34" spans="1:16" x14ac:dyDescent="0.25">
      <c r="A34" s="7"/>
      <c r="B34" s="8" t="s">
        <v>53</v>
      </c>
      <c r="C34" s="7" t="s">
        <v>84</v>
      </c>
      <c r="D34" s="8" t="s">
        <v>98</v>
      </c>
      <c r="E34" s="9" t="s">
        <v>32</v>
      </c>
      <c r="F34" s="26"/>
      <c r="G34" s="27"/>
      <c r="H34" s="26"/>
      <c r="I34" s="27"/>
      <c r="J34" s="26"/>
      <c r="K34" s="27"/>
      <c r="L34" s="26"/>
      <c r="M34" s="27"/>
      <c r="P34" s="51" t="s">
        <v>81</v>
      </c>
    </row>
    <row r="35" spans="1:16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  <c r="P35" s="51"/>
    </row>
    <row r="36" spans="1:16" x14ac:dyDescent="0.25">
      <c r="D36" s="2"/>
      <c r="F36" s="32"/>
      <c r="G36" s="33"/>
      <c r="H36" s="32"/>
      <c r="I36" s="33"/>
      <c r="J36" s="32"/>
      <c r="K36" s="33"/>
      <c r="L36" s="32"/>
      <c r="M36" s="33"/>
      <c r="O36" t="s">
        <v>81</v>
      </c>
      <c r="P36" s="51"/>
    </row>
    <row r="37" spans="1:16" x14ac:dyDescent="0.25">
      <c r="D37" s="2" t="s">
        <v>28</v>
      </c>
      <c r="F37" s="34">
        <f t="shared" ref="F37:M37" si="7">+F25+F16+F8+F5</f>
        <v>100</v>
      </c>
      <c r="G37" s="35">
        <f t="shared" si="7"/>
        <v>100</v>
      </c>
      <c r="H37" s="34">
        <f t="shared" si="7"/>
        <v>100</v>
      </c>
      <c r="I37" s="35">
        <f t="shared" si="7"/>
        <v>100</v>
      </c>
      <c r="J37" s="34">
        <f t="shared" si="7"/>
        <v>100</v>
      </c>
      <c r="K37" s="35">
        <f t="shared" si="7"/>
        <v>100</v>
      </c>
      <c r="L37" s="34">
        <f t="shared" si="7"/>
        <v>100</v>
      </c>
      <c r="M37" s="35">
        <f t="shared" si="7"/>
        <v>100</v>
      </c>
    </row>
    <row r="38" spans="1:16" ht="15.75" thickBot="1" x14ac:dyDescent="0.3">
      <c r="D38" s="2" t="s">
        <v>30</v>
      </c>
      <c r="F38" s="36">
        <f t="shared" ref="F38:M38" si="8">SUMIF($E$5:$E$34,"&lt;&gt;EUR",F5:F34)-100</f>
        <v>3</v>
      </c>
      <c r="G38" s="37">
        <f t="shared" si="8"/>
        <v>3</v>
      </c>
      <c r="H38" s="36">
        <f t="shared" si="8"/>
        <v>6</v>
      </c>
      <c r="I38" s="37">
        <f t="shared" si="8"/>
        <v>3</v>
      </c>
      <c r="J38" s="36">
        <f t="shared" si="8"/>
        <v>6</v>
      </c>
      <c r="K38" s="37">
        <f t="shared" si="8"/>
        <v>3</v>
      </c>
      <c r="L38" s="36">
        <f t="shared" si="8"/>
        <v>8</v>
      </c>
      <c r="M38" s="37">
        <f t="shared" si="8"/>
        <v>3</v>
      </c>
    </row>
    <row r="39" spans="1:16" x14ac:dyDescent="0.25">
      <c r="D39" s="2"/>
      <c r="F39" s="38"/>
      <c r="G39" s="38"/>
    </row>
    <row r="41" spans="1:16" x14ac:dyDescent="0.25">
      <c r="D41" s="2"/>
    </row>
    <row r="42" spans="1:16" x14ac:dyDescent="0.25">
      <c r="D42" s="2"/>
    </row>
    <row r="43" spans="1:16" x14ac:dyDescent="0.25">
      <c r="A43" t="s">
        <v>80</v>
      </c>
      <c r="D43" s="2"/>
    </row>
    <row r="44" spans="1:16" x14ac:dyDescent="0.25">
      <c r="D44" s="2"/>
    </row>
    <row r="45" spans="1:16" x14ac:dyDescent="0.25">
      <c r="D45" s="2"/>
    </row>
  </sheetData>
  <mergeCells count="5">
    <mergeCell ref="F1:M1"/>
    <mergeCell ref="H2:I2"/>
    <mergeCell ref="F2:G2"/>
    <mergeCell ref="J2:K2"/>
    <mergeCell ref="L2:M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5"/>
  <sheetViews>
    <sheetView zoomScale="130" zoomScaleNormal="130" workbookViewId="0">
      <selection activeCell="F34" sqref="F34:M35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  <col min="14" max="14" width="8.85546875" style="40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v>5</v>
      </c>
      <c r="G5" s="25">
        <v>5</v>
      </c>
      <c r="H5" s="24">
        <v>5</v>
      </c>
      <c r="I5" s="25">
        <v>3</v>
      </c>
      <c r="J5" s="24">
        <v>3</v>
      </c>
      <c r="K5" s="25">
        <v>3</v>
      </c>
      <c r="L5" s="24">
        <v>1</v>
      </c>
      <c r="M5" s="25">
        <v>3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31</v>
      </c>
      <c r="F6" s="26">
        <v>5</v>
      </c>
      <c r="G6" s="27">
        <v>5</v>
      </c>
      <c r="H6" s="26">
        <v>5</v>
      </c>
      <c r="I6" s="27">
        <v>3</v>
      </c>
      <c r="J6" s="26">
        <v>3</v>
      </c>
      <c r="K6" s="27">
        <v>3</v>
      </c>
      <c r="L6" s="26">
        <v>1</v>
      </c>
      <c r="M6" s="27">
        <v>3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v>20</v>
      </c>
      <c r="G8" s="49">
        <v>20</v>
      </c>
      <c r="H8" s="48">
        <v>30</v>
      </c>
      <c r="I8" s="49">
        <v>30</v>
      </c>
      <c r="J8" s="48">
        <v>51</v>
      </c>
      <c r="K8" s="49">
        <v>50</v>
      </c>
      <c r="L8" s="48">
        <v>75</v>
      </c>
      <c r="M8" s="49"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42</v>
      </c>
      <c r="K9" s="29">
        <v>50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3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3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v>56</v>
      </c>
      <c r="G16" s="49">
        <v>56</v>
      </c>
      <c r="H16" s="48">
        <v>45</v>
      </c>
      <c r="I16" s="49">
        <v>47</v>
      </c>
      <c r="J16" s="48">
        <v>28</v>
      </c>
      <c r="K16" s="49">
        <v>29</v>
      </c>
      <c r="L16" s="48">
        <v>10</v>
      </c>
      <c r="M16" s="49">
        <v>10</v>
      </c>
    </row>
    <row r="17" spans="1:16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50</v>
      </c>
      <c r="G17" s="31">
        <v>50</v>
      </c>
      <c r="H17" s="30">
        <v>42</v>
      </c>
      <c r="I17" s="31">
        <v>41</v>
      </c>
      <c r="J17" s="30">
        <v>24</v>
      </c>
      <c r="K17" s="31">
        <v>25</v>
      </c>
      <c r="L17" s="30">
        <v>10</v>
      </c>
      <c r="M17" s="31">
        <v>10</v>
      </c>
    </row>
    <row r="18" spans="1:16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/>
      <c r="G18" s="29"/>
      <c r="H18" s="28"/>
      <c r="I18" s="29"/>
      <c r="J18" s="28"/>
      <c r="K18" s="29"/>
      <c r="L18" s="28"/>
      <c r="M18" s="29"/>
    </row>
    <row r="19" spans="1:16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6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  <c r="N20"/>
      <c r="P20" s="42"/>
    </row>
    <row r="21" spans="1:16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6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6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6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6" x14ac:dyDescent="0.25">
      <c r="A25" s="8" t="s">
        <v>8</v>
      </c>
      <c r="B25" s="8"/>
      <c r="C25" s="8"/>
      <c r="D25" s="8"/>
      <c r="E25" s="7"/>
      <c r="F25" s="48">
        <v>19</v>
      </c>
      <c r="G25" s="49">
        <v>19</v>
      </c>
      <c r="H25" s="48">
        <v>20</v>
      </c>
      <c r="I25" s="49">
        <v>20</v>
      </c>
      <c r="J25" s="48">
        <v>18</v>
      </c>
      <c r="K25" s="49">
        <v>18</v>
      </c>
      <c r="L25" s="48">
        <v>14</v>
      </c>
      <c r="M25" s="49">
        <v>15</v>
      </c>
    </row>
    <row r="26" spans="1:16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3</v>
      </c>
      <c r="I26" s="29">
        <v>3</v>
      </c>
      <c r="J26" s="28">
        <v>3</v>
      </c>
      <c r="K26" s="29">
        <v>3</v>
      </c>
      <c r="L26" s="28">
        <v>3</v>
      </c>
      <c r="M26" s="29">
        <v>3</v>
      </c>
    </row>
    <row r="27" spans="1:16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4</v>
      </c>
      <c r="G27" s="29">
        <v>4</v>
      </c>
      <c r="H27" s="28">
        <v>5</v>
      </c>
      <c r="I27" s="29">
        <v>5</v>
      </c>
      <c r="J27" s="28">
        <v>5</v>
      </c>
      <c r="K27" s="29">
        <v>5</v>
      </c>
      <c r="L27" s="28">
        <v>5</v>
      </c>
      <c r="M27" s="29">
        <v>5</v>
      </c>
    </row>
    <row r="28" spans="1:16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3</v>
      </c>
      <c r="G28" s="29">
        <v>3</v>
      </c>
      <c r="H28" s="28">
        <v>3</v>
      </c>
      <c r="I28" s="29">
        <v>3</v>
      </c>
      <c r="J28" s="28">
        <v>3</v>
      </c>
      <c r="K28" s="29">
        <v>3</v>
      </c>
      <c r="L28" s="28">
        <v>3</v>
      </c>
      <c r="M28" s="29">
        <v>3</v>
      </c>
    </row>
    <row r="29" spans="1:16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4</v>
      </c>
      <c r="G29" s="29">
        <v>4</v>
      </c>
      <c r="H29" s="28">
        <v>4</v>
      </c>
      <c r="I29" s="29">
        <v>4</v>
      </c>
      <c r="J29" s="28">
        <v>4</v>
      </c>
      <c r="K29" s="29">
        <v>4</v>
      </c>
      <c r="L29" s="28">
        <v>3</v>
      </c>
      <c r="M29" s="29">
        <v>4</v>
      </c>
    </row>
    <row r="30" spans="1:16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6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6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87</v>
      </c>
      <c r="D34" s="8" t="s">
        <v>94</v>
      </c>
      <c r="E34" s="9" t="s">
        <v>32</v>
      </c>
      <c r="F34" s="26"/>
      <c r="G34" s="27"/>
      <c r="H34" s="26"/>
      <c r="I34" s="27"/>
      <c r="J34" s="26"/>
      <c r="K34" s="27"/>
      <c r="L34" s="26"/>
      <c r="M34" s="27"/>
    </row>
    <row r="35" spans="1:13" ht="15.75" thickBot="1" x14ac:dyDescent="0.3">
      <c r="B35" s="2" t="s">
        <v>53</v>
      </c>
      <c r="C35" s="1" t="s">
        <v>88</v>
      </c>
      <c r="D35" s="2" t="s">
        <v>95</v>
      </c>
      <c r="E35" s="3" t="s">
        <v>22</v>
      </c>
      <c r="F35" s="22"/>
      <c r="G35" s="23"/>
      <c r="H35" s="22"/>
      <c r="I35" s="23"/>
      <c r="J35" s="22"/>
      <c r="K35" s="23"/>
      <c r="L35" s="22"/>
      <c r="M35" s="23"/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/>
      <c r="F37" s="34"/>
      <c r="G37" s="35"/>
      <c r="H37" s="34"/>
      <c r="I37" s="35"/>
      <c r="J37" s="34"/>
      <c r="K37" s="35"/>
      <c r="L37" s="34"/>
      <c r="M37" s="35"/>
    </row>
    <row r="38" spans="1:13" ht="15.75" thickBot="1" x14ac:dyDescent="0.3">
      <c r="D38" s="2"/>
      <c r="F38" s="36">
        <f t="shared" ref="F38:M38" si="0">+F25+F16+F8+F5</f>
        <v>100</v>
      </c>
      <c r="G38" s="37">
        <f t="shared" si="0"/>
        <v>100</v>
      </c>
      <c r="H38" s="36">
        <f t="shared" si="0"/>
        <v>100</v>
      </c>
      <c r="I38" s="37">
        <f t="shared" si="0"/>
        <v>100</v>
      </c>
      <c r="J38" s="36">
        <f t="shared" si="0"/>
        <v>100</v>
      </c>
      <c r="K38" s="37">
        <f t="shared" si="0"/>
        <v>100</v>
      </c>
      <c r="L38" s="36">
        <f t="shared" si="0"/>
        <v>100</v>
      </c>
      <c r="M38" s="37">
        <f t="shared" si="0"/>
        <v>100</v>
      </c>
    </row>
    <row r="39" spans="1:13" x14ac:dyDescent="0.25">
      <c r="D39" s="2" t="s">
        <v>30</v>
      </c>
      <c r="F39" s="38">
        <f t="shared" ref="F39:M39" si="1">SUMIF($E$5:$E$35,"&lt;&gt;CHF",F5:F35)-100</f>
        <v>95</v>
      </c>
      <c r="G39" s="38">
        <f t="shared" si="1"/>
        <v>95</v>
      </c>
      <c r="H39" s="39">
        <f t="shared" si="1"/>
        <v>98</v>
      </c>
      <c r="I39" s="39">
        <f t="shared" si="1"/>
        <v>97</v>
      </c>
      <c r="J39" s="39">
        <f t="shared" si="1"/>
        <v>97</v>
      </c>
      <c r="K39" s="39">
        <f t="shared" si="1"/>
        <v>97</v>
      </c>
      <c r="L39" s="39">
        <f t="shared" si="1"/>
        <v>99</v>
      </c>
      <c r="M39" s="39">
        <f t="shared" si="1"/>
        <v>97</v>
      </c>
    </row>
    <row r="41" spans="1:13" x14ac:dyDescent="0.25">
      <c r="D41" s="2"/>
    </row>
    <row r="42" spans="1:13" x14ac:dyDescent="0.25">
      <c r="D42" s="2"/>
    </row>
    <row r="43" spans="1:13" x14ac:dyDescent="0.25">
      <c r="D43" s="2"/>
    </row>
    <row r="44" spans="1:13" x14ac:dyDescent="0.25">
      <c r="D44" s="2"/>
      <c r="F44" s="39">
        <v>-81</v>
      </c>
      <c r="G44" s="39">
        <v>-72</v>
      </c>
      <c r="H44" s="39">
        <v>-85</v>
      </c>
      <c r="I44" s="39">
        <v>-74</v>
      </c>
      <c r="J44" s="39">
        <v>-88</v>
      </c>
      <c r="K44" s="39">
        <v>-75</v>
      </c>
      <c r="L44" s="39">
        <v>-88</v>
      </c>
      <c r="M44" s="39">
        <v>-75</v>
      </c>
    </row>
    <row r="45" spans="1:13" x14ac:dyDescent="0.25">
      <c r="D45" s="2"/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5"/>
  <sheetViews>
    <sheetView zoomScale="130" zoomScaleNormal="130" workbookViewId="0">
      <selection activeCell="F34" sqref="F34:M34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v>5</v>
      </c>
      <c r="G5" s="25">
        <v>5</v>
      </c>
      <c r="H5" s="24">
        <v>5</v>
      </c>
      <c r="I5" s="25">
        <v>3</v>
      </c>
      <c r="J5" s="24">
        <v>3</v>
      </c>
      <c r="K5" s="25">
        <v>3</v>
      </c>
      <c r="L5" s="24">
        <v>1</v>
      </c>
      <c r="M5" s="25">
        <v>3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32</v>
      </c>
      <c r="F6" s="26">
        <v>5</v>
      </c>
      <c r="G6" s="27">
        <v>5</v>
      </c>
      <c r="H6" s="26">
        <v>5</v>
      </c>
      <c r="I6" s="27">
        <v>3</v>
      </c>
      <c r="J6" s="26">
        <v>3</v>
      </c>
      <c r="K6" s="27">
        <v>3</v>
      </c>
      <c r="L6" s="26">
        <v>1</v>
      </c>
      <c r="M6" s="27">
        <v>3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v>20</v>
      </c>
      <c r="G8" s="49">
        <v>20</v>
      </c>
      <c r="H8" s="48">
        <v>30</v>
      </c>
      <c r="I8" s="49">
        <v>30</v>
      </c>
      <c r="J8" s="48">
        <v>51</v>
      </c>
      <c r="K8" s="49">
        <v>50</v>
      </c>
      <c r="L8" s="48">
        <v>75</v>
      </c>
      <c r="M8" s="49"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42</v>
      </c>
      <c r="K9" s="29">
        <v>50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3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3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v>56</v>
      </c>
      <c r="G16" s="49">
        <v>56</v>
      </c>
      <c r="H16" s="48">
        <v>45</v>
      </c>
      <c r="I16" s="49">
        <v>47</v>
      </c>
      <c r="J16" s="48">
        <v>28</v>
      </c>
      <c r="K16" s="49">
        <v>29</v>
      </c>
      <c r="L16" s="48">
        <v>10</v>
      </c>
      <c r="M16" s="49">
        <v>10</v>
      </c>
    </row>
    <row r="17" spans="1:13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50</v>
      </c>
      <c r="G17" s="31">
        <v>50</v>
      </c>
      <c r="H17" s="30">
        <v>42</v>
      </c>
      <c r="I17" s="31">
        <v>41</v>
      </c>
      <c r="J17" s="30">
        <v>24</v>
      </c>
      <c r="K17" s="31">
        <v>25</v>
      </c>
      <c r="L17" s="30">
        <v>10</v>
      </c>
      <c r="M17" s="31">
        <v>10</v>
      </c>
    </row>
    <row r="18" spans="1:13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/>
      <c r="G18" s="29"/>
      <c r="H18" s="28"/>
      <c r="I18" s="29"/>
      <c r="J18" s="28"/>
      <c r="K18" s="29"/>
      <c r="L18" s="28"/>
      <c r="M18" s="29"/>
    </row>
    <row r="19" spans="1:13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3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13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3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3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3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3" x14ac:dyDescent="0.25">
      <c r="A25" s="8" t="s">
        <v>8</v>
      </c>
      <c r="B25" s="8"/>
      <c r="C25" s="8"/>
      <c r="D25" s="8"/>
      <c r="E25" s="7"/>
      <c r="F25" s="48">
        <v>19</v>
      </c>
      <c r="G25" s="49">
        <v>19</v>
      </c>
      <c r="H25" s="48">
        <v>20</v>
      </c>
      <c r="I25" s="49">
        <v>20</v>
      </c>
      <c r="J25" s="48">
        <v>18</v>
      </c>
      <c r="K25" s="49">
        <v>18</v>
      </c>
      <c r="L25" s="48">
        <v>14</v>
      </c>
      <c r="M25" s="49">
        <v>15</v>
      </c>
    </row>
    <row r="26" spans="1:13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3</v>
      </c>
      <c r="I26" s="29">
        <v>3</v>
      </c>
      <c r="J26" s="28">
        <v>3</v>
      </c>
      <c r="K26" s="29">
        <v>3</v>
      </c>
      <c r="L26" s="28">
        <v>3</v>
      </c>
      <c r="M26" s="29">
        <v>3</v>
      </c>
    </row>
    <row r="27" spans="1:13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4</v>
      </c>
      <c r="G27" s="29">
        <v>4</v>
      </c>
      <c r="H27" s="28">
        <v>5</v>
      </c>
      <c r="I27" s="29">
        <v>5</v>
      </c>
      <c r="J27" s="28">
        <v>5</v>
      </c>
      <c r="K27" s="29">
        <v>5</v>
      </c>
      <c r="L27" s="28">
        <v>5</v>
      </c>
      <c r="M27" s="29">
        <v>5</v>
      </c>
    </row>
    <row r="28" spans="1:13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3</v>
      </c>
      <c r="G28" s="29">
        <v>3</v>
      </c>
      <c r="H28" s="28">
        <v>3</v>
      </c>
      <c r="I28" s="29">
        <v>3</v>
      </c>
      <c r="J28" s="28">
        <v>3</v>
      </c>
      <c r="K28" s="29">
        <v>3</v>
      </c>
      <c r="L28" s="28">
        <v>3</v>
      </c>
      <c r="M28" s="29">
        <v>3</v>
      </c>
    </row>
    <row r="29" spans="1:13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4</v>
      </c>
      <c r="G29" s="29">
        <v>4</v>
      </c>
      <c r="H29" s="28">
        <v>4</v>
      </c>
      <c r="I29" s="29">
        <v>4</v>
      </c>
      <c r="J29" s="28">
        <v>4</v>
      </c>
      <c r="K29" s="29">
        <v>4</v>
      </c>
      <c r="L29" s="28">
        <v>3</v>
      </c>
      <c r="M29" s="29">
        <v>4</v>
      </c>
    </row>
    <row r="30" spans="1:13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3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3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89</v>
      </c>
      <c r="D34" s="8" t="s">
        <v>96</v>
      </c>
      <c r="E34" s="9" t="s">
        <v>22</v>
      </c>
      <c r="F34" s="26"/>
      <c r="G34" s="27">
        <v>-80</v>
      </c>
      <c r="H34" s="26"/>
      <c r="I34" s="27">
        <v>-80</v>
      </c>
      <c r="J34" s="26"/>
      <c r="K34" s="27">
        <v>-80</v>
      </c>
      <c r="L34" s="26"/>
      <c r="M34" s="27">
        <v>-80</v>
      </c>
    </row>
    <row r="35" spans="1:13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 t="s">
        <v>28</v>
      </c>
      <c r="F37" s="34">
        <f t="shared" ref="F37:M37" si="0">+F25+F16+F8+F5</f>
        <v>100</v>
      </c>
      <c r="G37" s="35">
        <f t="shared" si="0"/>
        <v>100</v>
      </c>
      <c r="H37" s="34">
        <f t="shared" si="0"/>
        <v>100</v>
      </c>
      <c r="I37" s="35">
        <f t="shared" si="0"/>
        <v>100</v>
      </c>
      <c r="J37" s="34">
        <f t="shared" si="0"/>
        <v>100</v>
      </c>
      <c r="K37" s="35">
        <f t="shared" si="0"/>
        <v>100</v>
      </c>
      <c r="L37" s="34">
        <f t="shared" si="0"/>
        <v>100</v>
      </c>
      <c r="M37" s="35">
        <f t="shared" si="0"/>
        <v>100</v>
      </c>
    </row>
    <row r="38" spans="1:13" ht="15.75" thickBot="1" x14ac:dyDescent="0.3">
      <c r="D38" s="2" t="s">
        <v>30</v>
      </c>
      <c r="F38" s="36">
        <f t="shared" ref="F38:M38" si="1">SUMIF($E$5:$E$34,"&lt;&gt;USD",F5:F34)-100</f>
        <v>92</v>
      </c>
      <c r="G38" s="37">
        <f t="shared" si="1"/>
        <v>12</v>
      </c>
      <c r="H38" s="36">
        <f t="shared" si="1"/>
        <v>92</v>
      </c>
      <c r="I38" s="37">
        <f t="shared" si="1"/>
        <v>14</v>
      </c>
      <c r="J38" s="36">
        <f t="shared" si="1"/>
        <v>91</v>
      </c>
      <c r="K38" s="37">
        <f t="shared" si="1"/>
        <v>14</v>
      </c>
      <c r="L38" s="36">
        <f t="shared" si="1"/>
        <v>91</v>
      </c>
      <c r="M38" s="37">
        <f t="shared" si="1"/>
        <v>14</v>
      </c>
    </row>
    <row r="39" spans="1:13" x14ac:dyDescent="0.25">
      <c r="D39" s="2"/>
      <c r="F39" s="38"/>
      <c r="G39" s="38"/>
    </row>
    <row r="41" spans="1:13" x14ac:dyDescent="0.25">
      <c r="D41" s="2"/>
    </row>
    <row r="42" spans="1:13" x14ac:dyDescent="0.25">
      <c r="D42" s="2"/>
      <c r="F42" s="39">
        <v>-74</v>
      </c>
      <c r="G42" s="39">
        <v>-59</v>
      </c>
      <c r="H42" s="39">
        <v>-77</v>
      </c>
      <c r="I42" s="39">
        <v>-60</v>
      </c>
      <c r="J42" s="39">
        <v>-80</v>
      </c>
      <c r="K42" s="39">
        <v>-63</v>
      </c>
      <c r="L42" s="39">
        <v>-80</v>
      </c>
      <c r="M42" s="39">
        <v>-63</v>
      </c>
    </row>
    <row r="43" spans="1:13" x14ac:dyDescent="0.25">
      <c r="D43" s="2"/>
    </row>
    <row r="44" spans="1:13" x14ac:dyDescent="0.25">
      <c r="D44" s="2"/>
    </row>
    <row r="45" spans="1:13" x14ac:dyDescent="0.25">
      <c r="D45" s="2"/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7"/>
  <sheetViews>
    <sheetView zoomScale="130" zoomScaleNormal="130" workbookViewId="0">
      <selection activeCell="F3" sqref="F3:M32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v>5</v>
      </c>
      <c r="G5" s="25">
        <v>5</v>
      </c>
      <c r="H5" s="24">
        <v>5</v>
      </c>
      <c r="I5" s="25">
        <v>3</v>
      </c>
      <c r="J5" s="24">
        <v>3</v>
      </c>
      <c r="K5" s="25">
        <v>3</v>
      </c>
      <c r="L5" s="24">
        <v>1</v>
      </c>
      <c r="M5" s="25">
        <v>3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33</v>
      </c>
      <c r="F6" s="26">
        <v>5</v>
      </c>
      <c r="G6" s="27">
        <v>5</v>
      </c>
      <c r="H6" s="26">
        <v>5</v>
      </c>
      <c r="I6" s="27">
        <v>3</v>
      </c>
      <c r="J6" s="26">
        <v>3</v>
      </c>
      <c r="K6" s="27">
        <v>3</v>
      </c>
      <c r="L6" s="26">
        <v>1</v>
      </c>
      <c r="M6" s="27">
        <v>3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v>20</v>
      </c>
      <c r="G8" s="49">
        <v>20</v>
      </c>
      <c r="H8" s="48">
        <v>30</v>
      </c>
      <c r="I8" s="49">
        <v>30</v>
      </c>
      <c r="J8" s="48">
        <v>51</v>
      </c>
      <c r="K8" s="49">
        <v>50</v>
      </c>
      <c r="L8" s="48">
        <v>75</v>
      </c>
      <c r="M8" s="49"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42</v>
      </c>
      <c r="K9" s="29">
        <v>50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3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3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v>56</v>
      </c>
      <c r="G16" s="49">
        <v>56</v>
      </c>
      <c r="H16" s="48">
        <v>45</v>
      </c>
      <c r="I16" s="49">
        <v>47</v>
      </c>
      <c r="J16" s="48">
        <v>28</v>
      </c>
      <c r="K16" s="49">
        <v>29</v>
      </c>
      <c r="L16" s="48">
        <v>10</v>
      </c>
      <c r="M16" s="49">
        <v>10</v>
      </c>
    </row>
    <row r="17" spans="1:13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50</v>
      </c>
      <c r="G17" s="31">
        <v>50</v>
      </c>
      <c r="H17" s="30">
        <v>42</v>
      </c>
      <c r="I17" s="31">
        <v>41</v>
      </c>
      <c r="J17" s="30">
        <v>24</v>
      </c>
      <c r="K17" s="31">
        <v>25</v>
      </c>
      <c r="L17" s="30">
        <v>10</v>
      </c>
      <c r="M17" s="31">
        <v>10</v>
      </c>
    </row>
    <row r="18" spans="1:13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/>
      <c r="G18" s="29"/>
      <c r="H18" s="28"/>
      <c r="I18" s="29"/>
      <c r="J18" s="28"/>
      <c r="K18" s="29"/>
      <c r="L18" s="28"/>
      <c r="M18" s="29"/>
    </row>
    <row r="19" spans="1:13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3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13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3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3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3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3" x14ac:dyDescent="0.25">
      <c r="A25" s="8" t="s">
        <v>8</v>
      </c>
      <c r="B25" s="8"/>
      <c r="C25" s="8"/>
      <c r="D25" s="8"/>
      <c r="E25" s="7"/>
      <c r="F25" s="48">
        <v>19</v>
      </c>
      <c r="G25" s="49">
        <v>19</v>
      </c>
      <c r="H25" s="48">
        <v>20</v>
      </c>
      <c r="I25" s="49">
        <v>20</v>
      </c>
      <c r="J25" s="48">
        <v>18</v>
      </c>
      <c r="K25" s="49">
        <v>18</v>
      </c>
      <c r="L25" s="48">
        <v>14</v>
      </c>
      <c r="M25" s="49">
        <v>15</v>
      </c>
    </row>
    <row r="26" spans="1:13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3</v>
      </c>
      <c r="I26" s="29">
        <v>3</v>
      </c>
      <c r="J26" s="28">
        <v>3</v>
      </c>
      <c r="K26" s="29">
        <v>3</v>
      </c>
      <c r="L26" s="28">
        <v>3</v>
      </c>
      <c r="M26" s="29">
        <v>3</v>
      </c>
    </row>
    <row r="27" spans="1:13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4</v>
      </c>
      <c r="G27" s="29">
        <v>4</v>
      </c>
      <c r="H27" s="28">
        <v>5</v>
      </c>
      <c r="I27" s="29">
        <v>5</v>
      </c>
      <c r="J27" s="28">
        <v>5</v>
      </c>
      <c r="K27" s="29">
        <v>5</v>
      </c>
      <c r="L27" s="28">
        <v>5</v>
      </c>
      <c r="M27" s="29">
        <v>5</v>
      </c>
    </row>
    <row r="28" spans="1:13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3</v>
      </c>
      <c r="G28" s="29">
        <v>3</v>
      </c>
      <c r="H28" s="28">
        <v>3</v>
      </c>
      <c r="I28" s="29">
        <v>3</v>
      </c>
      <c r="J28" s="28">
        <v>3</v>
      </c>
      <c r="K28" s="29">
        <v>3</v>
      </c>
      <c r="L28" s="28">
        <v>3</v>
      </c>
      <c r="M28" s="29">
        <v>3</v>
      </c>
    </row>
    <row r="29" spans="1:13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4</v>
      </c>
      <c r="G29" s="29">
        <v>4</v>
      </c>
      <c r="H29" s="28">
        <v>4</v>
      </c>
      <c r="I29" s="29">
        <v>4</v>
      </c>
      <c r="J29" s="28">
        <v>4</v>
      </c>
      <c r="K29" s="29">
        <v>4</v>
      </c>
      <c r="L29" s="28">
        <v>3</v>
      </c>
      <c r="M29" s="29">
        <v>4</v>
      </c>
    </row>
    <row r="30" spans="1:13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3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3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90</v>
      </c>
      <c r="D34" s="8" t="s">
        <v>97</v>
      </c>
      <c r="E34" s="9" t="s">
        <v>22</v>
      </c>
      <c r="F34" s="26">
        <v>-85</v>
      </c>
      <c r="G34" s="27">
        <v>-75</v>
      </c>
      <c r="H34" s="26">
        <v>-80</v>
      </c>
      <c r="I34" s="27">
        <v>-70</v>
      </c>
      <c r="J34" s="26">
        <v>-80</v>
      </c>
      <c r="K34" s="27">
        <v>-70</v>
      </c>
      <c r="L34" s="26">
        <v>-80</v>
      </c>
      <c r="M34" s="27">
        <v>-70</v>
      </c>
    </row>
    <row r="35" spans="1:13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 t="s">
        <v>28</v>
      </c>
      <c r="F37" s="34">
        <f t="shared" ref="F37:M37" si="0">+F25+F16+F8+F5</f>
        <v>100</v>
      </c>
      <c r="G37" s="35">
        <f t="shared" si="0"/>
        <v>100</v>
      </c>
      <c r="H37" s="34">
        <f t="shared" si="0"/>
        <v>100</v>
      </c>
      <c r="I37" s="35">
        <f t="shared" si="0"/>
        <v>100</v>
      </c>
      <c r="J37" s="34">
        <f t="shared" si="0"/>
        <v>100</v>
      </c>
      <c r="K37" s="35">
        <f t="shared" si="0"/>
        <v>100</v>
      </c>
      <c r="L37" s="34">
        <f t="shared" si="0"/>
        <v>100</v>
      </c>
      <c r="M37" s="35">
        <f t="shared" si="0"/>
        <v>100</v>
      </c>
    </row>
    <row r="38" spans="1:13" ht="15" customHeight="1" thickBot="1" x14ac:dyDescent="0.3">
      <c r="D38" s="2" t="s">
        <v>30</v>
      </c>
      <c r="F38" s="36">
        <f t="shared" ref="F38:M38" si="1">SUMIF($E$5:$E$34,"&lt;&gt;GBP",F5:F34)-100</f>
        <v>10</v>
      </c>
      <c r="G38" s="37">
        <f t="shared" si="1"/>
        <v>20</v>
      </c>
      <c r="H38" s="36">
        <f t="shared" si="1"/>
        <v>18</v>
      </c>
      <c r="I38" s="37">
        <f t="shared" si="1"/>
        <v>27</v>
      </c>
      <c r="J38" s="36">
        <f t="shared" si="1"/>
        <v>17</v>
      </c>
      <c r="K38" s="37">
        <f t="shared" si="1"/>
        <v>27</v>
      </c>
      <c r="L38" s="36">
        <f t="shared" si="1"/>
        <v>19</v>
      </c>
      <c r="M38" s="37">
        <f t="shared" si="1"/>
        <v>27</v>
      </c>
    </row>
    <row r="39" spans="1:13" x14ac:dyDescent="0.25">
      <c r="D39" s="2"/>
      <c r="F39" s="38"/>
      <c r="G39" s="38"/>
    </row>
    <row r="41" spans="1:13" x14ac:dyDescent="0.25">
      <c r="D41" s="2"/>
    </row>
    <row r="42" spans="1:13" x14ac:dyDescent="0.25">
      <c r="D42" s="2"/>
    </row>
    <row r="43" spans="1:13" x14ac:dyDescent="0.25">
      <c r="D43" s="2"/>
    </row>
    <row r="44" spans="1:13" x14ac:dyDescent="0.25">
      <c r="D44" s="2"/>
    </row>
    <row r="45" spans="1:13" x14ac:dyDescent="0.25">
      <c r="D45" s="2"/>
    </row>
    <row r="47" spans="1:13" x14ac:dyDescent="0.25">
      <c r="F47" s="39">
        <v>-77</v>
      </c>
      <c r="G47" s="39">
        <v>-68</v>
      </c>
      <c r="H47" s="39">
        <v>-80</v>
      </c>
      <c r="I47" s="39">
        <v>-71</v>
      </c>
      <c r="J47" s="39">
        <v>-83</v>
      </c>
      <c r="K47" s="39">
        <v>-75</v>
      </c>
      <c r="L47" s="39">
        <v>-83</v>
      </c>
      <c r="M47" s="39">
        <v>-75</v>
      </c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A1682-FDBC-4FD5-913A-845094586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EUR</vt:lpstr>
      <vt:lpstr>CHF</vt:lpstr>
      <vt:lpstr>USD</vt:lpstr>
      <vt:lpstr>GBP</vt:lpstr>
      <vt:lpstr>CHF!Print_Area</vt:lpstr>
      <vt:lpstr>EUR!Print_Area</vt:lpstr>
      <vt:lpstr>GBP!Print_Area</vt:lpstr>
      <vt:lpstr>USD!Print_Area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Alexandre Agret</cp:lastModifiedBy>
  <cp:lastPrinted>2024-05-23T08:49:05Z</cp:lastPrinted>
  <dcterms:created xsi:type="dcterms:W3CDTF">2019-10-24T10:07:57Z</dcterms:created>
  <dcterms:modified xsi:type="dcterms:W3CDTF">2024-08-21T07:42:52Z</dcterms:modified>
</cp:coreProperties>
</file>