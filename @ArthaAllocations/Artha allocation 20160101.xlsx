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435" windowHeight="108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Sheet1!$B$5:$L$58</definedName>
  </definedNames>
  <calcPr calcId="145621"/>
</workbook>
</file>

<file path=xl/calcChain.xml><?xml version="1.0" encoding="utf-8"?>
<calcChain xmlns="http://schemas.openxmlformats.org/spreadsheetml/2006/main">
  <c r="F53" i="1" l="1"/>
  <c r="F33" i="1"/>
  <c r="F38" i="1" s="1"/>
  <c r="F14" i="1"/>
  <c r="F18" i="1" s="1"/>
  <c r="F46" i="1"/>
  <c r="F27" i="1"/>
  <c r="F30" i="1"/>
  <c r="F11" i="1"/>
  <c r="F51" i="1"/>
  <c r="F9" i="1"/>
  <c r="F57" i="1"/>
</calcChain>
</file>

<file path=xl/sharedStrings.xml><?xml version="1.0" encoding="utf-8"?>
<sst xmlns="http://schemas.openxmlformats.org/spreadsheetml/2006/main" count="64" uniqueCount="28">
  <si>
    <t>Income Profile</t>
  </si>
  <si>
    <t>Statutory Max</t>
  </si>
  <si>
    <t>Allocations Q12016</t>
  </si>
  <si>
    <t>Vector</t>
  </si>
  <si>
    <t>Vector Weight</t>
  </si>
  <si>
    <t>Active USD Long</t>
  </si>
  <si>
    <t>Equities:</t>
  </si>
  <si>
    <t>Cell D</t>
  </si>
  <si>
    <t>Exclusif 21</t>
  </si>
  <si>
    <t>Bonds:</t>
  </si>
  <si>
    <t>Cell C</t>
  </si>
  <si>
    <t>KKR</t>
  </si>
  <si>
    <t>TFC Bonds</t>
  </si>
  <si>
    <t>Alternatives:</t>
  </si>
  <si>
    <t>Loan fund</t>
  </si>
  <si>
    <t>Tactical</t>
  </si>
  <si>
    <t>Abrax</t>
  </si>
  <si>
    <t>Syquant</t>
  </si>
  <si>
    <t>Cash:</t>
  </si>
  <si>
    <t>10 to 15%</t>
  </si>
  <si>
    <t>Conservative Profile</t>
  </si>
  <si>
    <t>TFC Small Caps</t>
  </si>
  <si>
    <t>Loan Fund</t>
  </si>
  <si>
    <t>Cimco</t>
  </si>
  <si>
    <t>20 to 25%</t>
  </si>
  <si>
    <t>Balanced Profile</t>
  </si>
  <si>
    <t>Shanti India</t>
  </si>
  <si>
    <t>Liontrust 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</si>
</sst>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L58"/>
  <sheetViews>
    <sheetView tabSelected="1" workbookViewId="0">
      <selection activeCell="O14" sqref="O14"/>
    </sheetView>
  </sheetViews>
  <sheetFormatPr defaultRowHeight="15" x14ac:dyDescent="0.25"/>
  <cols>
    <col min="3" max="3" width="12" customWidth="1"/>
    <col min="8" max="8" width="13.7109375" customWidth="1"/>
  </cols>
  <sheetData>
    <row r="5" spans="2:12" ht="15.75" thickBot="1" x14ac:dyDescent="0.3"/>
    <row r="6" spans="2:12" ht="18.75" x14ac:dyDescent="0.3">
      <c r="B6" s="9" t="s">
        <v>0</v>
      </c>
      <c r="C6" s="10"/>
      <c r="D6" s="10"/>
      <c r="E6" s="11"/>
      <c r="F6" s="10"/>
      <c r="G6" s="10"/>
      <c r="H6" s="10"/>
      <c r="I6" s="10"/>
      <c r="J6" s="10"/>
      <c r="K6" s="10"/>
      <c r="L6" s="11"/>
    </row>
    <row r="7" spans="2:12" x14ac:dyDescent="0.25">
      <c r="B7" s="12"/>
      <c r="C7" s="13"/>
      <c r="D7" s="13"/>
      <c r="E7" s="14"/>
      <c r="F7" s="13"/>
      <c r="G7" s="13"/>
      <c r="H7" s="13"/>
      <c r="I7" s="13"/>
      <c r="J7" s="13"/>
      <c r="K7" s="13"/>
      <c r="L7" s="14"/>
    </row>
    <row r="8" spans="2:12" ht="15.75" thickBot="1" x14ac:dyDescent="0.3">
      <c r="B8" s="15" t="s">
        <v>1</v>
      </c>
      <c r="C8" s="16"/>
      <c r="D8" s="16"/>
      <c r="E8" s="17"/>
      <c r="F8" s="16" t="s">
        <v>2</v>
      </c>
      <c r="G8" s="16"/>
      <c r="H8" s="16" t="s">
        <v>3</v>
      </c>
      <c r="I8" s="16" t="s">
        <v>4</v>
      </c>
      <c r="J8" s="16"/>
      <c r="K8" s="16" t="s">
        <v>5</v>
      </c>
      <c r="L8" s="17"/>
    </row>
    <row r="9" spans="2:12" x14ac:dyDescent="0.25">
      <c r="B9" s="1"/>
      <c r="C9" s="2" t="s">
        <v>6</v>
      </c>
      <c r="D9" s="4">
        <v>0.2</v>
      </c>
      <c r="E9" s="3"/>
      <c r="F9" s="4">
        <f>I9+I10</f>
        <v>0.2</v>
      </c>
      <c r="G9" s="2"/>
      <c r="H9" s="4" t="s">
        <v>7</v>
      </c>
      <c r="I9" s="4">
        <v>0.15</v>
      </c>
      <c r="J9" s="2"/>
      <c r="K9" s="2"/>
      <c r="L9" s="3"/>
    </row>
    <row r="10" spans="2:12" x14ac:dyDescent="0.25">
      <c r="B10" s="1"/>
      <c r="C10" s="2"/>
      <c r="D10" s="4"/>
      <c r="E10" s="3"/>
      <c r="F10" s="2"/>
      <c r="G10" s="2"/>
      <c r="H10" s="4" t="s">
        <v>8</v>
      </c>
      <c r="I10" s="4">
        <v>0.05</v>
      </c>
      <c r="J10" s="2"/>
      <c r="K10" s="2"/>
      <c r="L10" s="3"/>
    </row>
    <row r="11" spans="2:12" x14ac:dyDescent="0.25">
      <c r="B11" s="1"/>
      <c r="C11" s="2" t="s">
        <v>9</v>
      </c>
      <c r="D11" s="2"/>
      <c r="E11" s="3"/>
      <c r="F11" s="4">
        <f>I11+I12+I13</f>
        <v>0.55000000000000004</v>
      </c>
      <c r="G11" s="2"/>
      <c r="H11" s="2" t="s">
        <v>10</v>
      </c>
      <c r="I11" s="4">
        <v>0.4</v>
      </c>
      <c r="J11" s="2"/>
      <c r="K11" s="2"/>
      <c r="L11" s="3"/>
    </row>
    <row r="12" spans="2:12" x14ac:dyDescent="0.25">
      <c r="B12" s="1"/>
      <c r="C12" s="2"/>
      <c r="D12" s="2"/>
      <c r="E12" s="3"/>
      <c r="F12" s="2"/>
      <c r="G12" s="2"/>
      <c r="H12" s="2" t="s">
        <v>11</v>
      </c>
      <c r="I12" s="4">
        <v>0.08</v>
      </c>
      <c r="J12" s="2"/>
      <c r="K12" s="2"/>
      <c r="L12" s="3"/>
    </row>
    <row r="13" spans="2:12" x14ac:dyDescent="0.25">
      <c r="B13" s="1"/>
      <c r="C13" s="2"/>
      <c r="D13" s="2"/>
      <c r="E13" s="3"/>
      <c r="F13" s="2"/>
      <c r="G13" s="2"/>
      <c r="H13" s="2" t="s">
        <v>12</v>
      </c>
      <c r="I13" s="4">
        <v>7.0000000000000007E-2</v>
      </c>
      <c r="J13" s="2"/>
      <c r="K13" s="2"/>
      <c r="L13" s="3"/>
    </row>
    <row r="14" spans="2:12" x14ac:dyDescent="0.25">
      <c r="B14" s="1"/>
      <c r="C14" s="2" t="s">
        <v>13</v>
      </c>
      <c r="D14" s="2"/>
      <c r="E14" s="3"/>
      <c r="F14" s="4">
        <f>SUM(I14:I17)</f>
        <v>0.1</v>
      </c>
      <c r="G14" s="2"/>
      <c r="H14" s="2" t="s">
        <v>14</v>
      </c>
      <c r="I14" s="4">
        <v>0</v>
      </c>
      <c r="J14" s="2"/>
      <c r="K14" s="2"/>
      <c r="L14" s="3"/>
    </row>
    <row r="15" spans="2:12" x14ac:dyDescent="0.25">
      <c r="B15" s="1"/>
      <c r="C15" s="2"/>
      <c r="D15" s="2"/>
      <c r="E15" s="3"/>
      <c r="F15" s="2"/>
      <c r="G15" s="2"/>
      <c r="H15" s="2" t="s">
        <v>15</v>
      </c>
      <c r="I15" s="4">
        <v>7.0000000000000007E-2</v>
      </c>
      <c r="J15" s="2"/>
      <c r="K15" s="2"/>
      <c r="L15" s="3"/>
    </row>
    <row r="16" spans="2:12" x14ac:dyDescent="0.25">
      <c r="B16" s="1"/>
      <c r="C16" s="2"/>
      <c r="D16" s="2"/>
      <c r="E16" s="3"/>
      <c r="F16" s="2"/>
      <c r="G16" s="2"/>
      <c r="H16" s="18" t="s">
        <v>16</v>
      </c>
      <c r="I16" s="4">
        <v>0.03</v>
      </c>
      <c r="J16" s="2"/>
      <c r="K16" s="2"/>
      <c r="L16" s="3"/>
    </row>
    <row r="17" spans="2:12" x14ac:dyDescent="0.25">
      <c r="B17" s="1"/>
      <c r="C17" s="2"/>
      <c r="D17" s="2"/>
      <c r="E17" s="3"/>
      <c r="F17" s="2"/>
      <c r="G17" s="2"/>
      <c r="H17" s="18" t="s">
        <v>17</v>
      </c>
      <c r="I17" s="4">
        <v>0</v>
      </c>
      <c r="J17" s="2"/>
      <c r="K17" s="2"/>
      <c r="L17" s="3"/>
    </row>
    <row r="18" spans="2:12" x14ac:dyDescent="0.25">
      <c r="B18" s="1"/>
      <c r="C18" s="2" t="s">
        <v>18</v>
      </c>
      <c r="D18" s="2"/>
      <c r="E18" s="3"/>
      <c r="F18" s="5">
        <f>100%-F14-F11-F9</f>
        <v>0.14999999999999997</v>
      </c>
      <c r="G18" s="2"/>
      <c r="H18" s="2"/>
      <c r="I18" s="2"/>
      <c r="J18" s="2"/>
      <c r="K18" s="2"/>
      <c r="L18" s="3"/>
    </row>
    <row r="19" spans="2:12" x14ac:dyDescent="0.25">
      <c r="B19" s="1"/>
      <c r="C19" s="2"/>
      <c r="D19" s="2"/>
      <c r="E19" s="3"/>
      <c r="F19" s="2"/>
      <c r="G19" s="2"/>
      <c r="H19" s="2"/>
      <c r="I19" s="2"/>
      <c r="J19" s="2"/>
      <c r="K19" s="2" t="s">
        <v>19</v>
      </c>
      <c r="L19" s="3"/>
    </row>
    <row r="20" spans="2:12" ht="15.75" thickBot="1" x14ac:dyDescent="0.3">
      <c r="B20" s="6"/>
      <c r="C20" s="7"/>
      <c r="D20" s="7"/>
      <c r="E20" s="8"/>
      <c r="F20" s="7"/>
      <c r="G20" s="7"/>
      <c r="H20" s="7"/>
      <c r="I20" s="7"/>
      <c r="J20" s="7"/>
      <c r="K20" s="7"/>
      <c r="L20" s="8"/>
    </row>
    <row r="23" spans="2:12" ht="15.75" thickBot="1" x14ac:dyDescent="0.3"/>
    <row r="24" spans="2:12" ht="18.75" x14ac:dyDescent="0.3">
      <c r="B24" s="9" t="s">
        <v>20</v>
      </c>
      <c r="C24" s="10"/>
      <c r="D24" s="10"/>
      <c r="E24" s="11"/>
      <c r="F24" s="10"/>
      <c r="G24" s="10"/>
      <c r="H24" s="10"/>
      <c r="I24" s="10"/>
      <c r="J24" s="10"/>
      <c r="K24" s="10"/>
      <c r="L24" s="11"/>
    </row>
    <row r="25" spans="2:12" x14ac:dyDescent="0.25">
      <c r="B25" s="12"/>
      <c r="C25" s="13"/>
      <c r="D25" s="13"/>
      <c r="E25" s="14"/>
      <c r="F25" s="13"/>
      <c r="G25" s="13"/>
      <c r="H25" s="13"/>
      <c r="I25" s="13"/>
      <c r="J25" s="13"/>
      <c r="K25" s="13"/>
      <c r="L25" s="14"/>
    </row>
    <row r="26" spans="2:12" ht="15.75" thickBot="1" x14ac:dyDescent="0.3">
      <c r="B26" s="15" t="s">
        <v>1</v>
      </c>
      <c r="C26" s="16"/>
      <c r="D26" s="16"/>
      <c r="E26" s="17"/>
      <c r="F26" s="16" t="s">
        <v>2</v>
      </c>
      <c r="G26" s="16"/>
      <c r="H26" s="16" t="s">
        <v>3</v>
      </c>
      <c r="I26" s="16" t="s">
        <v>4</v>
      </c>
      <c r="J26" s="16"/>
      <c r="K26" s="16" t="s">
        <v>5</v>
      </c>
      <c r="L26" s="17"/>
    </row>
    <row r="27" spans="2:12" x14ac:dyDescent="0.25">
      <c r="B27" s="1"/>
      <c r="C27" s="2" t="s">
        <v>6</v>
      </c>
      <c r="D27" s="4">
        <v>0.3</v>
      </c>
      <c r="E27" s="3"/>
      <c r="F27" s="4">
        <f>I27+I29+I28</f>
        <v>0.30000000000000004</v>
      </c>
      <c r="G27" s="2"/>
      <c r="H27" s="4" t="s">
        <v>7</v>
      </c>
      <c r="I27" s="4">
        <v>0.22</v>
      </c>
      <c r="J27" s="2"/>
      <c r="K27" s="2"/>
      <c r="L27" s="3"/>
    </row>
    <row r="28" spans="2:12" x14ac:dyDescent="0.25">
      <c r="B28" s="1"/>
      <c r="C28" s="2"/>
      <c r="D28" s="4"/>
      <c r="E28" s="3"/>
      <c r="F28" s="4"/>
      <c r="G28" s="2"/>
      <c r="H28" s="4" t="s">
        <v>21</v>
      </c>
      <c r="I28" s="4">
        <v>0.03</v>
      </c>
      <c r="J28" s="2"/>
      <c r="K28" s="2"/>
      <c r="L28" s="3"/>
    </row>
    <row r="29" spans="2:12" x14ac:dyDescent="0.25">
      <c r="B29" s="1"/>
      <c r="C29" s="2"/>
      <c r="D29" s="4"/>
      <c r="E29" s="3"/>
      <c r="F29" s="2"/>
      <c r="G29" s="2"/>
      <c r="H29" s="4" t="s">
        <v>8</v>
      </c>
      <c r="I29" s="4">
        <v>0.05</v>
      </c>
      <c r="J29" s="2"/>
      <c r="K29" s="2"/>
      <c r="L29" s="3"/>
    </row>
    <row r="30" spans="2:12" x14ac:dyDescent="0.25">
      <c r="B30" s="1"/>
      <c r="C30" s="2" t="s">
        <v>9</v>
      </c>
      <c r="D30" s="2"/>
      <c r="E30" s="3"/>
      <c r="F30" s="4">
        <f>I30+I31+I32</f>
        <v>0.42</v>
      </c>
      <c r="G30" s="2"/>
      <c r="H30" s="2" t="s">
        <v>10</v>
      </c>
      <c r="I30" s="4">
        <v>0.3</v>
      </c>
      <c r="J30" s="2"/>
      <c r="K30" s="2"/>
      <c r="L30" s="3"/>
    </row>
    <row r="31" spans="2:12" x14ac:dyDescent="0.25">
      <c r="B31" s="1"/>
      <c r="C31" s="2"/>
      <c r="D31" s="2"/>
      <c r="E31" s="3"/>
      <c r="F31" s="2"/>
      <c r="G31" s="2"/>
      <c r="H31" s="2" t="s">
        <v>11</v>
      </c>
      <c r="I31" s="4">
        <v>7.0000000000000007E-2</v>
      </c>
      <c r="J31" s="2"/>
      <c r="K31" s="2"/>
      <c r="L31" s="3"/>
    </row>
    <row r="32" spans="2:12" x14ac:dyDescent="0.25">
      <c r="B32" s="1"/>
      <c r="C32" s="2"/>
      <c r="D32" s="2"/>
      <c r="E32" s="3"/>
      <c r="F32" s="2"/>
      <c r="G32" s="2"/>
      <c r="H32" s="2" t="s">
        <v>12</v>
      </c>
      <c r="I32" s="4">
        <v>0.05</v>
      </c>
      <c r="J32" s="2"/>
      <c r="K32" s="2"/>
      <c r="L32" s="3"/>
    </row>
    <row r="33" spans="2:12" x14ac:dyDescent="0.25">
      <c r="B33" s="1"/>
      <c r="C33" s="2" t="s">
        <v>13</v>
      </c>
      <c r="D33" s="2"/>
      <c r="E33" s="3"/>
      <c r="F33" s="4">
        <f>SUM(I33:I37)</f>
        <v>0.12</v>
      </c>
      <c r="G33" s="2"/>
      <c r="H33" s="2" t="s">
        <v>22</v>
      </c>
      <c r="I33" s="4">
        <v>0</v>
      </c>
      <c r="J33" s="2"/>
      <c r="K33" s="2"/>
      <c r="L33" s="3"/>
    </row>
    <row r="34" spans="2:12" x14ac:dyDescent="0.25">
      <c r="B34" s="1"/>
      <c r="C34" s="2"/>
      <c r="D34" s="2"/>
      <c r="E34" s="3"/>
      <c r="F34" s="2"/>
      <c r="G34" s="2"/>
      <c r="H34" s="2" t="s">
        <v>15</v>
      </c>
      <c r="I34" s="4">
        <v>0.03</v>
      </c>
      <c r="J34" s="2"/>
      <c r="K34" s="2"/>
      <c r="L34" s="3"/>
    </row>
    <row r="35" spans="2:12" x14ac:dyDescent="0.25">
      <c r="B35" s="1"/>
      <c r="C35" s="2"/>
      <c r="D35" s="2"/>
      <c r="E35" s="3"/>
      <c r="F35" s="2"/>
      <c r="G35" s="2"/>
      <c r="H35" s="18" t="s">
        <v>16</v>
      </c>
      <c r="I35" s="4">
        <v>0.05</v>
      </c>
      <c r="J35" s="2"/>
      <c r="K35" s="2"/>
      <c r="L35" s="3"/>
    </row>
    <row r="36" spans="2:12" x14ac:dyDescent="0.25">
      <c r="B36" s="1"/>
      <c r="C36" s="2"/>
      <c r="D36" s="2"/>
      <c r="E36" s="3"/>
      <c r="F36" s="2"/>
      <c r="G36" s="2"/>
      <c r="H36" s="18" t="s">
        <v>17</v>
      </c>
      <c r="I36" s="4">
        <v>0</v>
      </c>
      <c r="J36" s="2"/>
      <c r="K36" s="2"/>
      <c r="L36" s="3"/>
    </row>
    <row r="37" spans="2:12" x14ac:dyDescent="0.25">
      <c r="B37" s="1"/>
      <c r="C37" s="2"/>
      <c r="D37" s="2"/>
      <c r="E37" s="3"/>
      <c r="F37" s="2"/>
      <c r="G37" s="2"/>
      <c r="H37" s="2" t="s">
        <v>23</v>
      </c>
      <c r="I37" s="4">
        <v>0.04</v>
      </c>
      <c r="J37" s="2"/>
      <c r="K37" s="2"/>
      <c r="L37" s="3"/>
    </row>
    <row r="38" spans="2:12" x14ac:dyDescent="0.25">
      <c r="B38" s="1"/>
      <c r="C38" s="2" t="s">
        <v>18</v>
      </c>
      <c r="D38" s="2"/>
      <c r="E38" s="3"/>
      <c r="F38" s="5">
        <f>100%-F33-F30-F27</f>
        <v>0.15999999999999998</v>
      </c>
      <c r="G38" s="2"/>
      <c r="H38" s="2"/>
      <c r="I38" s="2"/>
      <c r="J38" s="2"/>
      <c r="K38" s="2" t="s">
        <v>24</v>
      </c>
      <c r="L38" s="3"/>
    </row>
    <row r="39" spans="2:12" ht="15.75" thickBot="1" x14ac:dyDescent="0.3">
      <c r="B39" s="6"/>
      <c r="C39" s="7"/>
      <c r="D39" s="7"/>
      <c r="E39" s="8"/>
      <c r="F39" s="7"/>
      <c r="G39" s="7"/>
      <c r="H39" s="7"/>
      <c r="I39" s="7"/>
      <c r="J39" s="7"/>
      <c r="K39" s="7"/>
      <c r="L39" s="8"/>
    </row>
    <row r="42" spans="2:12" ht="15.75" thickBot="1" x14ac:dyDescent="0.3"/>
    <row r="43" spans="2:12" ht="18.75" x14ac:dyDescent="0.3">
      <c r="B43" s="9" t="s">
        <v>25</v>
      </c>
      <c r="C43" s="10"/>
      <c r="D43" s="10"/>
      <c r="E43" s="11"/>
      <c r="F43" s="10"/>
      <c r="G43" s="10"/>
      <c r="H43" s="10"/>
      <c r="I43" s="10"/>
      <c r="J43" s="10"/>
      <c r="K43" s="10"/>
      <c r="L43" s="11"/>
    </row>
    <row r="44" spans="2:12" x14ac:dyDescent="0.25">
      <c r="B44" s="12"/>
      <c r="C44" s="13"/>
      <c r="D44" s="13"/>
      <c r="E44" s="14"/>
      <c r="F44" s="13"/>
      <c r="G44" s="13"/>
      <c r="H44" s="13"/>
      <c r="I44" s="13"/>
      <c r="J44" s="13"/>
      <c r="K44" s="13"/>
      <c r="L44" s="14"/>
    </row>
    <row r="45" spans="2:12" ht="15.75" thickBot="1" x14ac:dyDescent="0.3">
      <c r="B45" s="15" t="s">
        <v>1</v>
      </c>
      <c r="C45" s="16"/>
      <c r="D45" s="16"/>
      <c r="E45" s="17"/>
      <c r="F45" s="16" t="s">
        <v>2</v>
      </c>
      <c r="G45" s="16"/>
      <c r="H45" s="16" t="s">
        <v>3</v>
      </c>
      <c r="I45" s="16" t="s">
        <v>4</v>
      </c>
      <c r="J45" s="16"/>
      <c r="K45" s="16" t="s">
        <v>5</v>
      </c>
      <c r="L45" s="17"/>
    </row>
    <row r="46" spans="2:12" x14ac:dyDescent="0.25">
      <c r="B46" s="1"/>
      <c r="C46" s="2" t="s">
        <v>6</v>
      </c>
      <c r="D46" s="4">
        <v>0.7</v>
      </c>
      <c r="E46" s="3"/>
      <c r="F46" s="4">
        <f>I46+I47+I49+I50+I48</f>
        <v>0.57000000000000006</v>
      </c>
      <c r="G46" s="2"/>
      <c r="H46" s="4" t="s">
        <v>7</v>
      </c>
      <c r="I46" s="4">
        <v>0.42</v>
      </c>
      <c r="J46" s="2"/>
      <c r="K46" s="2"/>
      <c r="L46" s="3"/>
    </row>
    <row r="47" spans="2:12" x14ac:dyDescent="0.25">
      <c r="B47" s="1"/>
      <c r="C47" s="2"/>
      <c r="D47" s="4"/>
      <c r="E47" s="3"/>
      <c r="F47" s="2"/>
      <c r="G47" s="2"/>
      <c r="H47" s="4" t="s">
        <v>8</v>
      </c>
      <c r="I47" s="4">
        <v>0.06</v>
      </c>
      <c r="J47" s="2"/>
      <c r="K47" s="2"/>
      <c r="L47" s="3"/>
    </row>
    <row r="48" spans="2:12" x14ac:dyDescent="0.25">
      <c r="B48" s="1"/>
      <c r="C48" s="2"/>
      <c r="D48" s="4"/>
      <c r="E48" s="3"/>
      <c r="F48" s="2"/>
      <c r="G48" s="2"/>
      <c r="H48" s="4" t="s">
        <v>21</v>
      </c>
      <c r="I48" s="4">
        <v>0.03</v>
      </c>
      <c r="J48" s="2"/>
      <c r="K48" s="2"/>
      <c r="L48" s="3"/>
    </row>
    <row r="49" spans="2:12" x14ac:dyDescent="0.25">
      <c r="B49" s="1"/>
      <c r="C49" s="2"/>
      <c r="D49" s="4"/>
      <c r="E49" s="3"/>
      <c r="F49" s="2"/>
      <c r="G49" s="2"/>
      <c r="H49" s="4" t="s">
        <v>26</v>
      </c>
      <c r="I49" s="4">
        <v>0.03</v>
      </c>
      <c r="J49" s="2"/>
      <c r="K49" s="2"/>
      <c r="L49" s="3"/>
    </row>
    <row r="50" spans="2:12" x14ac:dyDescent="0.25">
      <c r="B50" s="1"/>
      <c r="C50" s="2"/>
      <c r="D50" s="4"/>
      <c r="E50" s="3"/>
      <c r="F50" s="2"/>
      <c r="G50" s="2"/>
      <c r="H50" s="4" t="s">
        <v>27</v>
      </c>
      <c r="I50" s="4">
        <v>0.03</v>
      </c>
      <c r="J50" s="2"/>
      <c r="K50" s="2"/>
      <c r="L50" s="3"/>
    </row>
    <row r="51" spans="2:12" x14ac:dyDescent="0.25">
      <c r="B51" s="1"/>
      <c r="C51" s="2" t="s">
        <v>9</v>
      </c>
      <c r="D51" s="2"/>
      <c r="E51" s="3"/>
      <c r="F51" s="4">
        <f>I51+I52</f>
        <v>0.22999999999999998</v>
      </c>
      <c r="G51" s="2"/>
      <c r="H51" s="2" t="s">
        <v>10</v>
      </c>
      <c r="I51" s="4">
        <v>0.18</v>
      </c>
      <c r="J51" s="2"/>
      <c r="K51" s="2"/>
      <c r="L51" s="3"/>
    </row>
    <row r="52" spans="2:12" x14ac:dyDescent="0.25">
      <c r="B52" s="1"/>
      <c r="C52" s="2"/>
      <c r="D52" s="2"/>
      <c r="E52" s="3"/>
      <c r="F52" s="2"/>
      <c r="G52" s="2"/>
      <c r="H52" s="2" t="s">
        <v>11</v>
      </c>
      <c r="I52" s="4">
        <v>0.05</v>
      </c>
      <c r="J52" s="2"/>
      <c r="K52" s="2"/>
      <c r="L52" s="3"/>
    </row>
    <row r="53" spans="2:12" x14ac:dyDescent="0.25">
      <c r="B53" s="1"/>
      <c r="C53" s="2" t="s">
        <v>13</v>
      </c>
      <c r="D53" s="2"/>
      <c r="E53" s="3"/>
      <c r="F53" s="4">
        <f>SUM(I53:I56)</f>
        <v>0.15000000000000002</v>
      </c>
      <c r="G53" s="2"/>
      <c r="H53" s="18" t="s">
        <v>16</v>
      </c>
      <c r="I53" s="4">
        <v>0.06</v>
      </c>
      <c r="J53" s="2"/>
      <c r="K53" s="2"/>
      <c r="L53" s="3"/>
    </row>
    <row r="54" spans="2:12" x14ac:dyDescent="0.25">
      <c r="B54" s="1"/>
      <c r="C54" s="2"/>
      <c r="D54" s="2"/>
      <c r="E54" s="3"/>
      <c r="F54" s="2"/>
      <c r="G54" s="2"/>
      <c r="H54" s="2" t="s">
        <v>15</v>
      </c>
      <c r="I54" s="4">
        <v>0.04</v>
      </c>
      <c r="J54" s="2"/>
      <c r="K54" s="2" t="s">
        <v>24</v>
      </c>
      <c r="L54" s="3"/>
    </row>
    <row r="55" spans="2:12" x14ac:dyDescent="0.25">
      <c r="B55" s="1"/>
      <c r="C55" s="2"/>
      <c r="D55" s="2"/>
      <c r="E55" s="3"/>
      <c r="F55" s="2"/>
      <c r="G55" s="2"/>
      <c r="H55" s="18" t="s">
        <v>17</v>
      </c>
      <c r="I55" s="4">
        <v>0</v>
      </c>
      <c r="J55" s="2"/>
      <c r="K55" s="2"/>
      <c r="L55" s="3"/>
    </row>
    <row r="56" spans="2:12" x14ac:dyDescent="0.25">
      <c r="B56" s="1"/>
      <c r="C56" s="2"/>
      <c r="D56" s="2"/>
      <c r="E56" s="3"/>
      <c r="F56" s="2"/>
      <c r="G56" s="2"/>
      <c r="H56" s="2" t="s">
        <v>23</v>
      </c>
      <c r="I56" s="4">
        <v>0.05</v>
      </c>
      <c r="J56" s="2"/>
      <c r="K56" s="2"/>
      <c r="L56" s="3"/>
    </row>
    <row r="57" spans="2:12" x14ac:dyDescent="0.25">
      <c r="B57" s="1"/>
      <c r="C57" s="2" t="s">
        <v>18</v>
      </c>
      <c r="D57" s="2"/>
      <c r="E57" s="3"/>
      <c r="F57" s="5">
        <f>100%-F53-F51-F46</f>
        <v>4.9999999999999933E-2</v>
      </c>
      <c r="G57" s="2"/>
      <c r="H57" s="2"/>
      <c r="I57" s="2"/>
      <c r="J57" s="2"/>
      <c r="K57" s="2"/>
      <c r="L57" s="3"/>
    </row>
    <row r="58" spans="2:12" ht="15.75" thickBot="1" x14ac:dyDescent="0.3">
      <c r="B58" s="6"/>
      <c r="C58" s="7"/>
      <c r="D58" s="7"/>
      <c r="E58" s="8"/>
      <c r="F58" s="7"/>
      <c r="G58" s="7"/>
      <c r="H58" s="7"/>
      <c r="I58" s="7"/>
      <c r="J58" s="7"/>
      <c r="K58" s="7"/>
      <c r="L58" s="8"/>
    </row>
  </sheetData>
  <pageMargins left="0.7" right="0.7" top="0.75" bottom="0.75" header="0.3" footer="0.3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pmanet</dc:creator>
  <cp:lastModifiedBy>pmanet</cp:lastModifiedBy>
  <cp:revision/>
  <dcterms:created xsi:type="dcterms:W3CDTF">2015-04-08T11:23:34Z</dcterms:created>
  <dcterms:modified xsi:type="dcterms:W3CDTF">2016-02-16T10:48:28Z</dcterms:modified>
</cp:coreProperties>
</file>