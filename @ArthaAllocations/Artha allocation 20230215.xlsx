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Asset Management\1. Allocations\"/>
    </mc:Choice>
  </mc:AlternateContent>
  <xr:revisionPtr revIDLastSave="0" documentId="13_ncr:1_{9BC3D46F-0EA6-4D15-BE68-E67E69DFD553}" xr6:coauthVersionLast="47" xr6:coauthVersionMax="47" xr10:uidLastSave="{00000000-0000-0000-0000-000000000000}"/>
  <bookViews>
    <workbookView xWindow="15840" yWindow="4440" windowWidth="20970" windowHeight="23805" tabRatio="393" activeTab="5" xr2:uid="{00000000-000D-0000-FFFF-FFFF00000000}"/>
  </bookViews>
  <sheets>
    <sheet name="EUR" sheetId="1" r:id="rId1"/>
    <sheet name="CHF" sheetId="4" r:id="rId2"/>
    <sheet name="USD" sheetId="5" r:id="rId3"/>
    <sheet name="GBP" sheetId="6" r:id="rId4"/>
    <sheet name="Allocations" sheetId="7" r:id="rId5"/>
    <sheet name="EUR (2)" sheetId="8" r:id="rId6"/>
  </sheets>
  <definedNames>
    <definedName name="color" localSheetId="4">Allocations!$G:$AB</definedName>
    <definedName name="ExternalData_1" localSheetId="4" hidden="1">Allocations!#REF!</definedName>
    <definedName name="_xlnm.Print_Area" localSheetId="0">EUR!$A$1:$M$39</definedName>
    <definedName name="_xlnm.Print_Area" localSheetId="5">'EUR (2)'!$A$1:$D$9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D8" i="8"/>
  <c r="Q17" i="1"/>
  <c r="Q9" i="1"/>
  <c r="Q27" i="1"/>
  <c r="P6" i="1" l="1"/>
  <c r="P9" i="1"/>
  <c r="Q10" i="1" s="1"/>
  <c r="P17" i="1"/>
  <c r="Q18" i="1" s="1"/>
  <c r="Q19" i="1" s="1"/>
  <c r="R19" i="1" s="1"/>
  <c r="P27" i="1"/>
  <c r="Q28" i="1" s="1"/>
  <c r="R29" i="1" s="1"/>
  <c r="P31" i="1"/>
  <c r="N25" i="1"/>
  <c r="N16" i="1"/>
  <c r="N8" i="1"/>
  <c r="N5" i="1"/>
  <c r="O16" i="1"/>
  <c r="N38" i="1"/>
  <c r="O25" i="1"/>
  <c r="O38" i="1" s="1"/>
  <c r="O8" i="1"/>
  <c r="O5" i="1"/>
  <c r="Y29" i="1"/>
  <c r="M25" i="1"/>
  <c r="L25" i="1"/>
  <c r="K25" i="1"/>
  <c r="J25" i="1"/>
  <c r="I25" i="1"/>
  <c r="H25" i="1"/>
  <c r="G25" i="1"/>
  <c r="M16" i="1"/>
  <c r="L16" i="1"/>
  <c r="K16" i="1"/>
  <c r="J16" i="1"/>
  <c r="I16" i="1"/>
  <c r="H16" i="1"/>
  <c r="G16" i="1"/>
  <c r="N37" i="1" l="1"/>
  <c r="Q11" i="1"/>
  <c r="Q33" i="1" s="1"/>
  <c r="Q35" i="1"/>
  <c r="O37" i="1"/>
  <c r="G8" i="1"/>
  <c r="M8" i="1"/>
  <c r="L8" i="1"/>
  <c r="K8" i="1"/>
  <c r="J8" i="1"/>
  <c r="I8" i="1"/>
  <c r="H8" i="1"/>
  <c r="M5" i="1"/>
  <c r="L5" i="1"/>
  <c r="J5" i="1"/>
  <c r="H5" i="1"/>
  <c r="F5" i="1"/>
  <c r="F8" i="1"/>
  <c r="F16" i="1"/>
  <c r="F25" i="1"/>
  <c r="R11" i="1" l="1"/>
  <c r="R33" i="1" s="1"/>
  <c r="S33" i="1"/>
  <c r="L37" i="1"/>
  <c r="H37" i="1"/>
  <c r="M37" i="1"/>
  <c r="J37" i="1"/>
  <c r="Z11" i="1"/>
  <c r="AM11" i="1"/>
  <c r="AL11" i="1"/>
  <c r="AK11" i="1"/>
  <c r="AJ11" i="1"/>
  <c r="AI11" i="1"/>
  <c r="AH11" i="1"/>
  <c r="AG11" i="1"/>
  <c r="AF11" i="1"/>
  <c r="AE11" i="1"/>
  <c r="AD11" i="1"/>
  <c r="AB11" i="1"/>
  <c r="AA11" i="1"/>
  <c r="AC8" i="1"/>
  <c r="AC11" i="1" s="1"/>
  <c r="Y8" i="1"/>
  <c r="Y11" i="1" s="1"/>
  <c r="AN6" i="1"/>
  <c r="AN5" i="1"/>
  <c r="AN4" i="1"/>
  <c r="G6" i="1" l="1"/>
  <c r="G5" i="1" s="1"/>
  <c r="G37" i="1" s="1"/>
  <c r="K6" i="1"/>
  <c r="K5" i="1" s="1"/>
  <c r="K37" i="1" s="1"/>
  <c r="I6" i="1"/>
  <c r="I5" i="1" s="1"/>
  <c r="I37" i="1" s="1"/>
  <c r="M27" i="6" l="1"/>
  <c r="L27" i="6"/>
  <c r="K27" i="6"/>
  <c r="J27" i="6"/>
  <c r="I27" i="6"/>
  <c r="H27" i="6"/>
  <c r="G27" i="6"/>
  <c r="F27" i="6"/>
  <c r="M27" i="5"/>
  <c r="L27" i="5"/>
  <c r="K27" i="5"/>
  <c r="J27" i="5"/>
  <c r="I27" i="5"/>
  <c r="H27" i="5"/>
  <c r="G27" i="5"/>
  <c r="F27" i="5"/>
  <c r="M27" i="4"/>
  <c r="L27" i="4"/>
  <c r="K27" i="4"/>
  <c r="J27" i="4"/>
  <c r="I27" i="4"/>
  <c r="H27" i="4"/>
  <c r="G27" i="4"/>
  <c r="F27" i="4"/>
  <c r="M17" i="4"/>
  <c r="L17" i="4"/>
  <c r="K17" i="4"/>
  <c r="J17" i="4"/>
  <c r="I17" i="4"/>
  <c r="H17" i="4"/>
  <c r="G17" i="4"/>
  <c r="F17" i="4"/>
  <c r="M8" i="4"/>
  <c r="L8" i="4"/>
  <c r="K8" i="4"/>
  <c r="J8" i="4"/>
  <c r="I8" i="4"/>
  <c r="H8" i="4"/>
  <c r="G8" i="4"/>
  <c r="F8" i="4"/>
  <c r="M5" i="4"/>
  <c r="L5" i="4"/>
  <c r="K5" i="4"/>
  <c r="J5" i="4"/>
  <c r="I5" i="4"/>
  <c r="H5" i="4"/>
  <c r="G5" i="4"/>
  <c r="F5" i="4"/>
  <c r="M17" i="5"/>
  <c r="L17" i="5"/>
  <c r="K17" i="5"/>
  <c r="J17" i="5"/>
  <c r="I17" i="5"/>
  <c r="H17" i="5"/>
  <c r="G17" i="5"/>
  <c r="F17" i="5"/>
  <c r="M8" i="5"/>
  <c r="L8" i="5"/>
  <c r="K8" i="5"/>
  <c r="J8" i="5"/>
  <c r="I8" i="5"/>
  <c r="H8" i="5"/>
  <c r="G8" i="5"/>
  <c r="F8" i="5"/>
  <c r="M5" i="5"/>
  <c r="L5" i="5"/>
  <c r="K5" i="5"/>
  <c r="J5" i="5"/>
  <c r="I5" i="5"/>
  <c r="H5" i="5"/>
  <c r="G5" i="5"/>
  <c r="F5" i="5"/>
  <c r="M17" i="6" l="1"/>
  <c r="L17" i="6"/>
  <c r="K17" i="6"/>
  <c r="J17" i="6"/>
  <c r="I17" i="6"/>
  <c r="H17" i="6"/>
  <c r="G17" i="6"/>
  <c r="F17" i="6"/>
  <c r="M8" i="6"/>
  <c r="L8" i="6"/>
  <c r="K8" i="6"/>
  <c r="J8" i="6"/>
  <c r="I8" i="6"/>
  <c r="H8" i="6"/>
  <c r="G8" i="6"/>
  <c r="F8" i="6"/>
  <c r="M5" i="6"/>
  <c r="L5" i="6"/>
  <c r="K5" i="6"/>
  <c r="J5" i="6"/>
  <c r="I5" i="6"/>
  <c r="H5" i="6"/>
  <c r="G5" i="6"/>
  <c r="F5" i="6"/>
  <c r="H42" i="4" l="1"/>
  <c r="H41" i="4"/>
  <c r="M42" i="4"/>
  <c r="L42" i="4"/>
  <c r="K42" i="4"/>
  <c r="J42" i="4"/>
  <c r="I42" i="4"/>
  <c r="G42" i="4"/>
  <c r="F42" i="4"/>
  <c r="F41" i="4" l="1"/>
  <c r="G41" i="4"/>
  <c r="I41" i="4"/>
  <c r="J41" i="4"/>
  <c r="K41" i="4"/>
  <c r="L41" i="4"/>
  <c r="M41" i="4"/>
  <c r="M42" i="6" l="1"/>
  <c r="L42" i="6"/>
  <c r="K42" i="6"/>
  <c r="J42" i="6"/>
  <c r="I42" i="6"/>
  <c r="H42" i="6"/>
  <c r="G42" i="6"/>
  <c r="F42" i="6"/>
  <c r="M42" i="5"/>
  <c r="L42" i="5"/>
  <c r="K42" i="5"/>
  <c r="J42" i="5"/>
  <c r="I42" i="5"/>
  <c r="H42" i="5"/>
  <c r="G42" i="5"/>
  <c r="F42" i="5"/>
  <c r="M38" i="1"/>
  <c r="L38" i="1"/>
  <c r="K38" i="1"/>
  <c r="J38" i="1"/>
  <c r="I38" i="1"/>
  <c r="F38" i="1"/>
  <c r="H38" i="1" l="1"/>
  <c r="G38" i="1"/>
  <c r="F41" i="6"/>
  <c r="G41" i="6"/>
  <c r="H41" i="6"/>
  <c r="I41" i="6"/>
  <c r="J41" i="6"/>
  <c r="K41" i="6"/>
  <c r="L41" i="6"/>
  <c r="M41" i="6"/>
  <c r="F41" i="5"/>
  <c r="G41" i="5"/>
  <c r="H41" i="5"/>
  <c r="I41" i="5"/>
  <c r="J41" i="5"/>
  <c r="K41" i="5"/>
  <c r="L41" i="5"/>
  <c r="M41" i="5"/>
  <c r="F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xr16:uid="{00000000-0015-0000-FFFF-FFFF01000000}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xr16:uid="{00000000-0015-0000-FFFF-FFFF02000000}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xr16:uid="{00000000-0015-0000-FFFF-FFFF03000000}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xr16:uid="{00000000-0015-0000-FFFF-FFFF04000000}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xr16:uid="{00000000-0015-0000-FFFF-FFFF05000000}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<sst xmlns="http://schemas.openxmlformats.org/spreadsheetml/2006/main" count="678" uniqueCount="200">
  <si>
    <t>Cash&amp;MM</t>
  </si>
  <si>
    <t>Cash</t>
  </si>
  <si>
    <t>Equities</t>
  </si>
  <si>
    <t>Europe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</si>
  <si>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</si>
  <si>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</si>
  <si>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</si>
  <si>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</si>
  <si>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</si>
  <si>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</si>
  <si>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</si>
  <si>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</si>
  <si>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</si>
  <si>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</si>
  <si>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</si>
  <si>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</si>
  <si>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</si>
  <si>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</si>
  <si>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</si>
  <si>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WorldEquities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</si>
  <si>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</si>
  <si>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</si>
  <si>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</si>
  <si>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</si>
  <si>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</si>
  <si>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</si>
  <si>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</si>
  <si>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</si>
  <si>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</si>
  <si>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</si>
  <si>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</si>
  <si>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</si>
  <si>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</si>
  <si>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</si>
  <si>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</si>
  <si>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XAU Curncy</t>
  </si>
  <si>
    <t>GBP</t>
  </si>
  <si>
    <t>AssetClass</t>
  </si>
  <si>
    <t>AssetType</t>
  </si>
  <si>
    <t>DREQUIA LX Equity</t>
  </si>
  <si>
    <t>AREIIBA LX Equity</t>
  </si>
  <si>
    <t>IJPE LN Equity</t>
  </si>
  <si>
    <t>UBS0 04/24/25 Corp</t>
  </si>
  <si>
    <t>DRGLCRA LX Equity</t>
  </si>
  <si>
    <t>LISBA5A ID Equity</t>
  </si>
  <si>
    <t>LIARBA5 ID Equity</t>
  </si>
  <si>
    <t>TBWLSIE ID Equity</t>
  </si>
  <si>
    <t>ESLDILA LX Equity</t>
  </si>
  <si>
    <t>TFCFI1E LX Equity</t>
  </si>
  <si>
    <t>MLAQSEI ID Equity</t>
  </si>
  <si>
    <t>XAUCHF Curncy</t>
  </si>
  <si>
    <t>MUZSDUA ID Equity</t>
  </si>
  <si>
    <t>TFCFI1U LX Equity</t>
  </si>
  <si>
    <t>MUZSDGI ID Equity</t>
  </si>
  <si>
    <t>XAUGBP Curncy</t>
  </si>
  <si>
    <t>Convertible</t>
  </si>
  <si>
    <t>Emerging</t>
  </si>
  <si>
    <t>EEM US Equity</t>
  </si>
  <si>
    <t>LIOAIA1 ID Equity</t>
  </si>
  <si>
    <t>MECHEAF ID Equity</t>
  </si>
  <si>
    <t>MECAHUH ID Equity</t>
  </si>
  <si>
    <t>MECHGAF ID Equity</t>
  </si>
  <si>
    <t>BLWEEAE ID Equity</t>
  </si>
  <si>
    <t>MUHCHAS ID Equity</t>
  </si>
  <si>
    <t>EXANE 0 07/04/2022 Corp</t>
  </si>
  <si>
    <t>Dharmaresearch Dr Equity-A</t>
  </si>
  <si>
    <t>Blackwall Europe Equty-A Eur</t>
  </si>
  <si>
    <t>Ishares Msci Jpn Month Eur-H</t>
  </si>
  <si>
    <t>Ishares Msci Emerging Market</t>
  </si>
  <si>
    <t>Liontrust Gf Asia Inc-A1Eauh</t>
  </si>
  <si>
    <t>Ubs-Ct-Silex Gbl Engy 25</t>
  </si>
  <si>
    <t>Dharmaresearch Sa-Dr Gl Cr-A</t>
  </si>
  <si>
    <t>Liontrust Gf Strategc Bd-A5A</t>
  </si>
  <si>
    <t>Liontrust Gf Abs Ret Bd-A5D</t>
  </si>
  <si>
    <t>Arcano European Income I-Iba</t>
  </si>
  <si>
    <t>Muzinich Eu Cre Al-Heura Fdr</t>
  </si>
  <si>
    <t>Muzinich Short Dur Hg Yd-Hea</t>
  </si>
  <si>
    <t>Exa-Ct-Exa Man All Cv Per</t>
  </si>
  <si>
    <t>Exa-Ct-Exa X3 Mkt N Perp</t>
  </si>
  <si>
    <t>Blackwall Europe L/S-I Eur</t>
  </si>
  <si>
    <t>Esl Direct Lending-A</t>
  </si>
  <si>
    <t>Twy Fs Fds-Q Cap Mang Ft-I1E</t>
  </si>
  <si>
    <t>Ml Alphaquest Ucit-Eur Inst</t>
  </si>
  <si>
    <t>Xau-Eur X-Rate</t>
  </si>
  <si>
    <t>Muzinich Sd Hy-Hd Chf Acc S</t>
  </si>
  <si>
    <t>Muzinich Eu Cr Alpha-Husdanh</t>
  </si>
  <si>
    <t>Muzinich Sh Dur Hg Yd-Husda</t>
  </si>
  <si>
    <t>Twnty Fs Fds-Qcp Mang Ft-I1U</t>
  </si>
  <si>
    <t>Gold Spot   $/Oz</t>
  </si>
  <si>
    <t>Muzinich Eu Cre Al-Hgbpa Fdr</t>
  </si>
  <si>
    <t>Muzinich Short Dur Hg Yd-Hgi</t>
  </si>
  <si>
    <t>FxFwd</t>
  </si>
  <si>
    <t>FxHedging Total</t>
  </si>
  <si>
    <t>Alternatives Total</t>
  </si>
  <si>
    <t>PrivatEquiy</t>
  </si>
  <si>
    <t>Equities Total</t>
  </si>
  <si>
    <t>Bonds Total</t>
  </si>
  <si>
    <t>Cash Total</t>
  </si>
  <si>
    <t>(All)</t>
  </si>
  <si>
    <t>Profile</t>
  </si>
  <si>
    <t>BaseCur</t>
  </si>
  <si>
    <t>Sum of Weight</t>
  </si>
  <si>
    <t>Bank</t>
  </si>
  <si>
    <t>FxExposure</t>
  </si>
  <si>
    <t/>
  </si>
  <si>
    <t xml:space="preserve"> Total</t>
  </si>
  <si>
    <t>Ll Assets Spv C Eur Sp #</t>
  </si>
  <si>
    <t>Eur/Usd R 03/18/2020</t>
  </si>
  <si>
    <t>Eur/Chf R 03/18/2020</t>
  </si>
  <si>
    <t>Eur/Gbp R 03/18/2020</t>
  </si>
  <si>
    <t>EUR/CHF 03/18/2020 Curncy</t>
  </si>
  <si>
    <t>EUR/USD 03/18/2020 Curncy</t>
  </si>
  <si>
    <t>EUR/GBP 03/18/2020 Curncy</t>
  </si>
  <si>
    <t>CH0413289155 Corp</t>
  </si>
  <si>
    <t>Ticker</t>
  </si>
  <si>
    <t>Curncy</t>
  </si>
  <si>
    <t>Prima Capital Fund</t>
  </si>
  <si>
    <t>01_EUR_Conservative_Strategical</t>
  </si>
  <si>
    <t>01_EUR_Conservative_Tactical</t>
  </si>
  <si>
    <t>53041500</t>
  </si>
  <si>
    <t>53182600</t>
  </si>
  <si>
    <t>53455200</t>
  </si>
  <si>
    <t>1600220</t>
  </si>
  <si>
    <t>1612195</t>
  </si>
  <si>
    <t>532336A0</t>
  </si>
  <si>
    <t>532338B0</t>
  </si>
  <si>
    <t>51921000</t>
  </si>
  <si>
    <t>52122600</t>
  </si>
  <si>
    <t>60864 F4</t>
  </si>
  <si>
    <t>53233800</t>
  </si>
  <si>
    <t>532338A0</t>
  </si>
  <si>
    <t>532336B0</t>
  </si>
  <si>
    <t>EEBE</t>
  </si>
  <si>
    <t>TBDB</t>
  </si>
  <si>
    <t>ROZV</t>
  </si>
  <si>
    <t>600220</t>
  </si>
  <si>
    <t>612195</t>
  </si>
  <si>
    <t>PESB</t>
  </si>
  <si>
    <t>QUGU</t>
  </si>
  <si>
    <t>JFXW</t>
  </si>
  <si>
    <t>DARLINGTON ASSETS CORP</t>
  </si>
  <si>
    <t>SWISS LIFE LUX - LAP4007789001</t>
  </si>
  <si>
    <t>0% Holdikks Jul2200 (Ost)  15.07.2200</t>
  </si>
  <si>
    <t>Coca-Cola Femsa Sab Cv</t>
  </si>
  <si>
    <t>Ebay Inc</t>
  </si>
  <si>
    <t>Petronas Global Sukuk Lt</t>
  </si>
  <si>
    <t>Toronto-Dominion Bank</t>
  </si>
  <si>
    <t>USA</t>
  </si>
  <si>
    <t>Ishares Core S&amp;P 500 Etf</t>
  </si>
  <si>
    <t>Ishares Core Euro Stoxx 50</t>
  </si>
  <si>
    <t>Glg Japan Corealpha-Ih Eur</t>
  </si>
  <si>
    <t>Liontrust Asia Income-I Inc</t>
  </si>
  <si>
    <t>Gold Napoleon Frf 20</t>
  </si>
  <si>
    <t>Or Maple Leaf (Pce) 1 Oz</t>
  </si>
  <si>
    <t>Xpt-Chf X-Rate</t>
  </si>
  <si>
    <t>Gold Pool $/Kgs</t>
  </si>
  <si>
    <t>Twy Fs Fds-Q Cap Mang Ft-R1E</t>
  </si>
  <si>
    <t>Ll Assets Spv D Eur Sp #</t>
  </si>
  <si>
    <t>Ll Assets Spv F Eur Sp #</t>
  </si>
  <si>
    <t>Ll Assets Spv G Eur Sp #</t>
  </si>
  <si>
    <t>PRMCAPD VI Equity</t>
  </si>
  <si>
    <t>PRMCAPC VI Equity</t>
  </si>
  <si>
    <t>PRMCAPI VI Equity</t>
  </si>
  <si>
    <t>PRMCAPE VI Equity</t>
  </si>
  <si>
    <t>Gold Spot   €/Oz</t>
  </si>
  <si>
    <t>Gold Spot   Chf/Oz</t>
  </si>
  <si>
    <t>Gold Spot   £/Oz</t>
  </si>
  <si>
    <t>AUXG Comdty</t>
  </si>
  <si>
    <t>One River</t>
  </si>
  <si>
    <t>USD/EUR 06/18/2023 Curncy</t>
  </si>
  <si>
    <t>US+EU</t>
  </si>
  <si>
    <t>Now</t>
  </si>
  <si>
    <t>Alpha</t>
  </si>
  <si>
    <t>Gold</t>
  </si>
  <si>
    <t>Prima</t>
  </si>
  <si>
    <t>CH</t>
  </si>
  <si>
    <t>DEQ</t>
  </si>
  <si>
    <t>MZShtDur</t>
  </si>
  <si>
    <t>Arcano</t>
  </si>
  <si>
    <t>Dharma</t>
  </si>
  <si>
    <t>Lion</t>
  </si>
  <si>
    <t>ESL</t>
  </si>
  <si>
    <t>gdk</t>
  </si>
  <si>
    <t>aevis</t>
  </si>
  <si>
    <t>other</t>
  </si>
  <si>
    <t>Total</t>
  </si>
  <si>
    <t>Cur</t>
  </si>
  <si>
    <t>target</t>
  </si>
  <si>
    <t>OneRiver</t>
  </si>
  <si>
    <t>Conservateur</t>
  </si>
  <si>
    <t>Special</t>
  </si>
  <si>
    <t>we decided for a tolerance of 1% fluctuation over/under those tactical allocations</t>
  </si>
  <si>
    <t xml:space="preserve"> </t>
  </si>
  <si>
    <t>.ONE KY Equity</t>
  </si>
  <si>
    <t>Mixed Funds</t>
  </si>
  <si>
    <t>Investment Profile:</t>
  </si>
  <si>
    <t>TOTAL</t>
  </si>
  <si>
    <t xml:space="preserve">we decided for a tolerance of 2% fluctuation </t>
  </si>
  <si>
    <t>over/under those tactical allocations</t>
  </si>
  <si>
    <t>Precious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</si>
</sst>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"/>
    <numFmt numFmtId="165" formatCode="_ * #,##0.0_ ;_ * \-#,##0.0_ ;_ * &quot;-&quot;??_ ;_ @_ "/>
    <numFmt numFmtId="166" formatCode="_-* #,##0\ _C_H_F_-;\-* #,##0\ _C_H_F_-;_-* &quot;-&quot;??\ _C_H_F_-;_-@_-"/>
    <numFmt numFmtId="167" formatCode="_ * #,##0_ ;_ * \-#,##0_ ;_ * &quot;-&quot;??_ ;_ @_ "/>
    <numFmt numFmtId="168" formatCode="_-* #,##0.0\ _C_H_F_-;\-* #,##0.0\ _C_H_F_-;_-* &quot;-&quot;?\ _C_H_F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0625">
        <bgColor theme="9" tint="0.79998168889431442"/>
      </patternFill>
    </fill>
    <fill>
      <patternFill patternType="gray0625">
        <bgColor theme="9" tint="0.59999389629810485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43" fontId="3" fillId="0" borderId="0" xfId="1" applyFont="1"/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0" fillId="0" borderId="13" xfId="0" applyBorder="1"/>
    <xf numFmtId="43" fontId="3" fillId="0" borderId="13" xfId="1" applyFont="1" applyBorder="1"/>
    <xf numFmtId="0" fontId="0" fillId="0" borderId="16" xfId="0" applyBorder="1"/>
    <xf numFmtId="0" fontId="3" fillId="0" borderId="16" xfId="0" applyFont="1" applyBorder="1"/>
    <xf numFmtId="43" fontId="3" fillId="0" borderId="16" xfId="1" applyFont="1" applyBorder="1"/>
    <xf numFmtId="0" fontId="3" fillId="0" borderId="9" xfId="0" applyFont="1" applyBorder="1"/>
    <xf numFmtId="0" fontId="0" fillId="0" borderId="9" xfId="0" applyBorder="1"/>
    <xf numFmtId="43" fontId="3" fillId="0" borderId="9" xfId="1" applyFont="1" applyBorder="1"/>
    <xf numFmtId="43" fontId="3" fillId="0" borderId="0" xfId="1" applyFont="1" applyBorder="1"/>
    <xf numFmtId="0" fontId="3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" xfId="0" applyBorder="1"/>
    <xf numFmtId="0" fontId="0" fillId="0" borderId="17" xfId="0" applyBorder="1"/>
    <xf numFmtId="0" fontId="3" fillId="0" borderId="2" xfId="0" applyFont="1" applyBorder="1"/>
    <xf numFmtId="0" fontId="3" fillId="0" borderId="10" xfId="0" applyFont="1" applyBorder="1"/>
    <xf numFmtId="0" fontId="0" fillId="0" borderId="16" xfId="0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10" xfId="0" applyBorder="1"/>
    <xf numFmtId="0" fontId="0" fillId="0" borderId="22" xfId="0" applyBorder="1"/>
    <xf numFmtId="165" fontId="3" fillId="4" borderId="2" xfId="1" applyNumberFormat="1" applyFon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65" fontId="0" fillId="4" borderId="23" xfId="1" applyNumberFormat="1" applyFont="1" applyFill="1" applyBorder="1"/>
    <xf numFmtId="165" fontId="0" fillId="2" borderId="7" xfId="1" applyNumberFormat="1" applyFont="1" applyFill="1" applyBorder="1"/>
    <xf numFmtId="165" fontId="3" fillId="4" borderId="25" xfId="1" applyNumberFormat="1" applyFont="1" applyFill="1" applyBorder="1"/>
    <xf numFmtId="165" fontId="3" fillId="2" borderId="8" xfId="1" applyNumberFormat="1" applyFont="1" applyFill="1" applyBorder="1"/>
    <xf numFmtId="165" fontId="2" fillId="4" borderId="26" xfId="1" applyNumberFormat="1" applyFont="1" applyFill="1" applyBorder="1"/>
    <xf numFmtId="165" fontId="2" fillId="2" borderId="4" xfId="1" applyNumberFormat="1" applyFont="1" applyFill="1" applyBorder="1"/>
    <xf numFmtId="165" fontId="2" fillId="4" borderId="23" xfId="1" applyNumberFormat="1" applyFont="1" applyFill="1" applyBorder="1"/>
    <xf numFmtId="165" fontId="2" fillId="2" borderId="7" xfId="1" applyNumberFormat="1" applyFont="1" applyFill="1" applyBorder="1"/>
    <xf numFmtId="165" fontId="2" fillId="4" borderId="25" xfId="1" applyNumberFormat="1" applyFont="1" applyFill="1" applyBorder="1"/>
    <xf numFmtId="165" fontId="2" fillId="2" borderId="8" xfId="1" applyNumberFormat="1" applyFont="1" applyFill="1" applyBorder="1"/>
    <xf numFmtId="165" fontId="2" fillId="4" borderId="28" xfId="1" applyNumberFormat="1" applyFont="1" applyFill="1" applyBorder="1"/>
    <xf numFmtId="165" fontId="2" fillId="2" borderId="5" xfId="1" applyNumberFormat="1" applyFont="1" applyFill="1" applyBorder="1"/>
    <xf numFmtId="165" fontId="0" fillId="5" borderId="1" xfId="1" applyNumberFormat="1" applyFont="1" applyFill="1" applyBorder="1"/>
    <xf numFmtId="165" fontId="0" fillId="3" borderId="15" xfId="1" applyNumberFormat="1" applyFont="1" applyFill="1" applyBorder="1"/>
    <xf numFmtId="165" fontId="3" fillId="5" borderId="23" xfId="1" applyNumberFormat="1" applyFont="1" applyFill="1" applyBorder="1"/>
    <xf numFmtId="165" fontId="3" fillId="3" borderId="7" xfId="1" applyNumberFormat="1" applyFont="1" applyFill="1" applyBorder="1"/>
    <xf numFmtId="165" fontId="3" fillId="5" borderId="2" xfId="1" applyNumberFormat="1" applyFont="1" applyFill="1" applyBorder="1"/>
    <xf numFmtId="165" fontId="3" fillId="3" borderId="12" xfId="1" applyNumberFormat="1" applyFont="1" applyFill="1" applyBorder="1"/>
    <xf numFmtId="165" fontId="4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165" fontId="3" fillId="2" borderId="11" xfId="1" applyNumberFormat="1" applyFont="1" applyFill="1" applyBorder="1" applyAlignment="1">
      <alignment horizontal="center"/>
    </xf>
    <xf numFmtId="165" fontId="3" fillId="2" borderId="12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165" fontId="2" fillId="2" borderId="3" xfId="1" applyNumberFormat="1" applyFont="1" applyFill="1" applyBorder="1"/>
    <xf numFmtId="165" fontId="0" fillId="3" borderId="14" xfId="1" applyNumberFormat="1" applyFont="1" applyFill="1" applyBorder="1"/>
    <xf numFmtId="165" fontId="3" fillId="3" borderId="6" xfId="1" applyNumberFormat="1" applyFont="1" applyFill="1" applyBorder="1"/>
    <xf numFmtId="165" fontId="3" fillId="3" borderId="11" xfId="1" applyNumberFormat="1" applyFont="1" applyFill="1" applyBorder="1"/>
    <xf numFmtId="165" fontId="3" fillId="2" borderId="2" xfId="1" applyNumberFormat="1" applyFont="1" applyFill="1" applyBorder="1" applyAlignment="1">
      <alignment horizontal="center"/>
    </xf>
    <xf numFmtId="165" fontId="3" fillId="2" borderId="22" xfId="1" applyNumberFormat="1" applyFont="1" applyFill="1" applyBorder="1" applyAlignment="1">
      <alignment horizontal="center"/>
    </xf>
    <xf numFmtId="165" fontId="0" fillId="2" borderId="23" xfId="1" applyNumberFormat="1" applyFont="1" applyFill="1" applyBorder="1"/>
    <xf numFmtId="165" fontId="0" fillId="2" borderId="24" xfId="1" applyNumberFormat="1" applyFont="1" applyFill="1" applyBorder="1"/>
    <xf numFmtId="165" fontId="2" fillId="2" borderId="26" xfId="1" applyNumberFormat="1" applyFont="1" applyFill="1" applyBorder="1"/>
    <xf numFmtId="165" fontId="2" fillId="2" borderId="27" xfId="1" applyNumberFormat="1" applyFont="1" applyFill="1" applyBorder="1"/>
    <xf numFmtId="165" fontId="0" fillId="2" borderId="1" xfId="1" applyNumberFormat="1" applyFont="1" applyFill="1" applyBorder="1"/>
    <xf numFmtId="165" fontId="0" fillId="2" borderId="15" xfId="1" applyNumberFormat="1" applyFont="1" applyFill="1" applyBorder="1"/>
    <xf numFmtId="165" fontId="0" fillId="2" borderId="14" xfId="1" applyNumberFormat="1" applyFont="1" applyFill="1" applyBorder="1"/>
    <xf numFmtId="165" fontId="0" fillId="2" borderId="21" xfId="1" applyNumberFormat="1" applyFont="1" applyFill="1" applyBorder="1"/>
    <xf numFmtId="165" fontId="3" fillId="2" borderId="23" xfId="1" applyNumberFormat="1" applyFont="1" applyFill="1" applyBorder="1"/>
    <xf numFmtId="165" fontId="3" fillId="2" borderId="7" xfId="1" applyNumberFormat="1" applyFont="1" applyFill="1" applyBorder="1"/>
    <xf numFmtId="165" fontId="3" fillId="2" borderId="6" xfId="1" applyNumberFormat="1" applyFont="1" applyFill="1" applyBorder="1"/>
    <xf numFmtId="165" fontId="3" fillId="2" borderId="24" xfId="1" applyNumberFormat="1" applyFont="1" applyFill="1" applyBorder="1"/>
    <xf numFmtId="165" fontId="3" fillId="2" borderId="2" xfId="1" applyNumberFormat="1" applyFont="1" applyFill="1" applyBorder="1"/>
    <xf numFmtId="165" fontId="3" fillId="2" borderId="12" xfId="1" applyNumberFormat="1" applyFont="1" applyFill="1" applyBorder="1"/>
    <xf numFmtId="165" fontId="3" fillId="2" borderId="11" xfId="1" applyNumberFormat="1" applyFont="1" applyFill="1" applyBorder="1"/>
    <xf numFmtId="165" fontId="3" fillId="2" borderId="22" xfId="1" applyNumberFormat="1" applyFont="1" applyFill="1" applyBorder="1"/>
    <xf numFmtId="9" fontId="0" fillId="0" borderId="0" xfId="0" applyNumberFormat="1"/>
    <xf numFmtId="43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2" fillId="0" borderId="0" xfId="0" applyFont="1"/>
    <xf numFmtId="165" fontId="0" fillId="4" borderId="25" xfId="1" applyNumberFormat="1" applyFont="1" applyFill="1" applyBorder="1"/>
    <xf numFmtId="165" fontId="0" fillId="2" borderId="8" xfId="1" applyNumberFormat="1" applyFont="1" applyFill="1" applyBorder="1"/>
    <xf numFmtId="165" fontId="3" fillId="4" borderId="26" xfId="1" applyNumberFormat="1" applyFont="1" applyFill="1" applyBorder="1"/>
    <xf numFmtId="165" fontId="3" fillId="2" borderId="4" xfId="1" applyNumberFormat="1" applyFont="1" applyFill="1" applyBorder="1"/>
    <xf numFmtId="43" fontId="0" fillId="0" borderId="0" xfId="0" applyNumberFormat="1"/>
    <xf numFmtId="43" fontId="0" fillId="6" borderId="0" xfId="1" applyFont="1" applyFill="1"/>
    <xf numFmtId="165" fontId="0" fillId="8" borderId="23" xfId="1" applyNumberFormat="1" applyFont="1" applyFill="1" applyBorder="1"/>
    <xf numFmtId="165" fontId="0" fillId="7" borderId="7" xfId="1" applyNumberFormat="1" applyFont="1" applyFill="1" applyBorder="1"/>
    <xf numFmtId="165" fontId="3" fillId="8" borderId="25" xfId="1" applyNumberFormat="1" applyFont="1" applyFill="1" applyBorder="1"/>
    <xf numFmtId="165" fontId="3" fillId="7" borderId="8" xfId="1" applyNumberFormat="1" applyFont="1" applyFill="1" applyBorder="1"/>
    <xf numFmtId="165" fontId="2" fillId="8" borderId="26" xfId="1" applyNumberFormat="1" applyFont="1" applyFill="1" applyBorder="1"/>
    <xf numFmtId="165" fontId="2" fillId="7" borderId="4" xfId="1" applyNumberFormat="1" applyFont="1" applyFill="1" applyBorder="1"/>
    <xf numFmtId="165" fontId="3" fillId="8" borderId="26" xfId="1" applyNumberFormat="1" applyFont="1" applyFill="1" applyBorder="1"/>
    <xf numFmtId="165" fontId="3" fillId="7" borderId="4" xfId="1" applyNumberFormat="1" applyFont="1" applyFill="1" applyBorder="1"/>
    <xf numFmtId="165" fontId="2" fillId="8" borderId="23" xfId="1" applyNumberFormat="1" applyFont="1" applyFill="1" applyBorder="1"/>
    <xf numFmtId="165" fontId="2" fillId="7" borderId="7" xfId="1" applyNumberFormat="1" applyFont="1" applyFill="1" applyBorder="1"/>
    <xf numFmtId="165" fontId="2" fillId="8" borderId="28" xfId="1" applyNumberFormat="1" applyFont="1" applyFill="1" applyBorder="1"/>
    <xf numFmtId="165" fontId="2" fillId="7" borderId="5" xfId="1" applyNumberFormat="1" applyFont="1" applyFill="1" applyBorder="1"/>
    <xf numFmtId="165" fontId="0" fillId="8" borderId="25" xfId="1" applyNumberFormat="1" applyFont="1" applyFill="1" applyBorder="1"/>
    <xf numFmtId="165" fontId="0" fillId="7" borderId="8" xfId="1" applyNumberFormat="1" applyFont="1" applyFill="1" applyBorder="1"/>
    <xf numFmtId="165" fontId="0" fillId="9" borderId="1" xfId="1" applyNumberFormat="1" applyFont="1" applyFill="1" applyBorder="1"/>
    <xf numFmtId="165" fontId="0" fillId="10" borderId="15" xfId="1" applyNumberFormat="1" applyFont="1" applyFill="1" applyBorder="1"/>
    <xf numFmtId="165" fontId="3" fillId="9" borderId="23" xfId="1" applyNumberFormat="1" applyFont="1" applyFill="1" applyBorder="1"/>
    <xf numFmtId="165" fontId="3" fillId="10" borderId="7" xfId="1" applyNumberFormat="1" applyFont="1" applyFill="1" applyBorder="1"/>
    <xf numFmtId="165" fontId="3" fillId="9" borderId="2" xfId="1" applyNumberFormat="1" applyFont="1" applyFill="1" applyBorder="1"/>
    <xf numFmtId="165" fontId="3" fillId="10" borderId="12" xfId="1" applyNumberFormat="1" applyFont="1" applyFill="1" applyBorder="1"/>
    <xf numFmtId="165" fontId="3" fillId="9" borderId="2" xfId="1" applyNumberFormat="1" applyFont="1" applyFill="1" applyBorder="1" applyAlignment="1">
      <alignment horizontal="center"/>
    </xf>
    <xf numFmtId="165" fontId="3" fillId="10" borderId="12" xfId="0" applyNumberFormat="1" applyFont="1" applyFill="1" applyBorder="1" applyAlignment="1">
      <alignment horizontal="center"/>
    </xf>
    <xf numFmtId="168" fontId="0" fillId="0" borderId="0" xfId="0" applyNumberFormat="1"/>
    <xf numFmtId="168" fontId="4" fillId="0" borderId="0" xfId="0" applyNumberFormat="1" applyFont="1"/>
    <xf numFmtId="10" fontId="0" fillId="0" borderId="0" xfId="0" applyNumberFormat="1"/>
    <xf numFmtId="167" fontId="0" fillId="0" borderId="0" xfId="0" applyNumberFormat="1"/>
    <xf numFmtId="0" fontId="6" fillId="0" borderId="0" xfId="0" applyFont="1"/>
    <xf numFmtId="165" fontId="6" fillId="0" borderId="0" xfId="0" applyNumberFormat="1" applyFont="1"/>
    <xf numFmtId="0" fontId="5" fillId="0" borderId="16" xfId="0" applyFont="1" applyBorder="1" applyAlignment="1">
      <alignment vertical="center"/>
    </xf>
    <xf numFmtId="165" fontId="5" fillId="4" borderId="16" xfId="1" applyNumberFormat="1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165" fontId="5" fillId="4" borderId="16" xfId="1" applyNumberFormat="1" applyFont="1" applyFill="1" applyBorder="1" applyAlignment="1">
      <alignment vertical="center"/>
    </xf>
    <xf numFmtId="165" fontId="5" fillId="2" borderId="16" xfId="1" applyNumberFormat="1" applyFont="1" applyFill="1" applyBorder="1" applyAlignment="1">
      <alignment vertical="center"/>
    </xf>
    <xf numFmtId="43" fontId="5" fillId="0" borderId="16" xfId="1" applyFont="1" applyBorder="1" applyAlignment="1">
      <alignment vertical="center"/>
    </xf>
    <xf numFmtId="165" fontId="5" fillId="5" borderId="16" xfId="1" applyNumberFormat="1" applyFont="1" applyFill="1" applyBorder="1" applyAlignment="1">
      <alignment vertical="center"/>
    </xf>
    <xf numFmtId="165" fontId="3" fillId="3" borderId="20" xfId="0" applyNumberFormat="1" applyFont="1" applyFill="1" applyBorder="1" applyAlignment="1">
      <alignment horizontal="center"/>
    </xf>
    <xf numFmtId="165" fontId="3" fillId="3" borderId="18" xfId="0" applyNumberFormat="1" applyFont="1" applyFill="1" applyBorder="1" applyAlignment="1">
      <alignment horizontal="center"/>
    </xf>
    <xf numFmtId="165" fontId="3" fillId="3" borderId="19" xfId="0" applyNumberFormat="1" applyFont="1" applyFill="1" applyBorder="1" applyAlignment="1">
      <alignment horizontal="center"/>
    </xf>
    <xf numFmtId="165" fontId="3" fillId="10" borderId="1" xfId="0" applyNumberFormat="1" applyFont="1" applyFill="1" applyBorder="1" applyAlignment="1">
      <alignment horizontal="center"/>
    </xf>
    <xf numFmtId="165" fontId="3" fillId="10" borderId="15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165" fontId="3" fillId="3" borderId="20" xfId="1" applyNumberFormat="1" applyFont="1" applyFill="1" applyBorder="1" applyAlignment="1">
      <alignment horizontal="center"/>
    </xf>
    <xf numFmtId="165" fontId="3" fillId="3" borderId="18" xfId="1" applyNumberFormat="1" applyFont="1" applyFill="1" applyBorder="1" applyAlignment="1">
      <alignment horizontal="center"/>
    </xf>
    <xf numFmtId="165" fontId="3" fillId="3" borderId="19" xfId="1" applyNumberFormat="1" applyFont="1" applyFill="1" applyBorder="1" applyAlignment="1">
      <alignment horizontal="center"/>
    </xf>
    <xf numFmtId="165" fontId="3" fillId="2" borderId="14" xfId="1" applyNumberFormat="1" applyFont="1" applyFill="1" applyBorder="1" applyAlignment="1">
      <alignment horizontal="center"/>
    </xf>
    <xf numFmtId="165" fontId="3" fillId="2" borderId="15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165" fontId="3" fillId="2" borderId="21" xfId="1" applyNumberFormat="1" applyFont="1" applyFill="1" applyBorder="1" applyAlignment="1">
      <alignment horizontal="center"/>
    </xf>
    <xf numFmtId="0" fontId="0" fillId="0" borderId="16" xfId="0" applyBorder="1" applyAlignment="1">
      <alignment vertical="center"/>
    </xf>
    <xf numFmtId="165" fontId="3" fillId="0" borderId="16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ont>
        <b/>
        <i val="0"/>
        <color rgb="FFFF000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16"/>
      <tableStyleElement type="headerRow" dxfId="15"/>
      <tableStyleElement type="firstRowStripe" dxfId="14"/>
    </tableStyle>
    <tableStyle name="TableStyleQueryResult" pivot="0" count="3" xr9:uid="{00000000-0011-0000-FFFF-FFFF01000000}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gret" refreshedDate="43838.642677199074" backgroundQuery="1" createdVersion="6" refreshedVersion="6" minRefreshableVersion="3" recordCount="1119" xr:uid="{00000000-000A-0000-FFFF-FFFF00000000}">
  <cacheSource type="external" connectionId="5"/>
  <cacheFields count="13">
    <cacheField name="Isin" numFmtId="0">
      <sharedItems/>
    </cacheField>
    <cacheField name="Client" numFmtId="0">
      <sharedItems count="66">
        <s v="53197400"/>
        <s v="46178 00"/>
        <s v="51099400"/>
        <s v="1611603"/>
        <s v="1600220"/>
        <s v="53455200"/>
        <s v="1707872"/>
        <s v="532336A0"/>
        <s v="532338B0"/>
        <s v="53041500"/>
        <s v="RL831100"/>
        <s v="15549 00"/>
        <s v="1612195"/>
        <s v="51921000"/>
        <s v="52122600"/>
        <s v="53233600"/>
        <s v="53233700"/>
        <s v="534552A0"/>
        <s v="60864 F4"/>
        <s v="60864 W1"/>
        <s v="53233800"/>
        <s v="532338A0"/>
        <s v="32540 00"/>
        <s v="53182600"/>
        <s v="53669800"/>
        <s v="532336B0"/>
        <s v="51732900"/>
        <s v="52599200"/>
        <s v="1158037"/>
        <s v="1608856"/>
        <s v="60864 K7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1521105"/>
        <s v="46720 00"/>
        <s v="RL830900"/>
      </sharedItems>
    </cacheField>
    <cacheField name="Weight" numFmtId="0">
      <sharedItems containsSemiMixedTypes="0" containsString="0" containsNumber="1" minValue="-88" maxValue="100"/>
    </cacheField>
    <cacheField name="Bank" numFmtId="0">
      <sharedItems count="3">
        <s v="LODH"/>
        <s v="BPER"/>
        <s v="Artha"/>
      </sharedItems>
    </cacheField>
    <cacheField name="ClientName" numFmtId="0">
      <sharedItems count="61">
        <s v="EAGLE RIVER LTD"/>
        <s v="QIPG"/>
        <s v="WUXE"/>
        <s v="611603"/>
        <s v="600220"/>
        <s v="ROZV"/>
        <s v="707872"/>
        <s v="PESB"/>
        <s v="QUGU"/>
        <s v="EEBE"/>
        <s v="RL8311 00"/>
        <s v="MARA 549"/>
        <s v="612195"/>
        <s v="JFXW"/>
        <s v="DARLINGTON ASSETS CORP"/>
        <s v="PJTE"/>
        <s v="SWISS LIFE LUX - LAP4007789001"/>
        <s v="SWISS LIFE LUX SA - 4007790002"/>
        <s v="OFIT"/>
        <s v="TBDB"/>
        <s v="MLGN"/>
        <s v="SXSU"/>
        <s v="VENS"/>
        <s v="Henri"/>
        <s v="Artha Finance"/>
        <s v="SWISS LIFE LUX - LAP4007648001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521105"/>
        <s v="BFMF"/>
        <s v="RL8309 00"/>
      </sharedItems>
    </cacheField>
    <cacheField name="BaseCur" numFmtId="0">
      <sharedItems count="4">
        <s v="EUR"/>
        <s v="CHF"/>
        <s v="GBP"/>
        <s v="USD"/>
      </sharedItems>
    </cacheField>
    <cacheField name="Profile" numFmtId="0">
      <sharedItems count="9">
        <s v="Balanced"/>
        <s v="ConservativePlus"/>
        <s v="Aggressive"/>
        <s v="Revenu"/>
        <s v="Conservative"/>
        <s v="Income"/>
        <s v="AdminOnly"/>
        <s v="NONE??"/>
        <s v="Suspendu Death ex Income"/>
      </sharedItems>
    </cacheField>
    <cacheField name="Tic" numFmtId="0">
      <sharedItems/>
    </cacheField>
    <cacheField name="SecName" numFmtId="0">
      <sharedItems count="113">
        <s v="X-Fab Silicon Foundries Se"/>
        <s v="Am2 Bermuda Limited Fund-Eur"/>
        <s v="Western Resources Corp"/>
        <s v="Sgs Sa-Reg"/>
        <s v="Gold 500g"/>
        <s v="Gold Pool $/Kgs"/>
        <s v="Xpt-Chf X-Rate"/>
        <s v="Beau-Rivage-Palace-Reg Pfd"/>
        <s v="Zurich Insurance Group Ag"/>
        <s v="Novartis Ag-Reg"/>
        <s v="Roche Holding Ag-Genusschein"/>
        <s v="Adecco Group Ag-Reg"/>
        <s v="Clariant Ag-Reg"/>
        <s v="Abb Ltd-Reg"/>
        <s v="Kudelski Sa-Br"/>
        <s v="Jungfraubahn Holding Ag-Reg"/>
        <s v="Nestle Sa-Reg"/>
        <s v="Ubs Group Ag-Reg"/>
        <s v="Ubs-Ct-Silex Gbl Engy 25"/>
        <s v="Lo Ch-Short-Term Mm Us-Usdma"/>
        <s v="Exa-Ct-Exa X3 Mkt N Perp"/>
        <s v="Alcon Inc"/>
        <s v="Exa-Ct-Exa Man All Cv Per"/>
        <s v="Aevis Victoria Sa"/>
        <s v="Bayer Ag-Reg"/>
        <s v="Abengoa SA- B Shares"/>
        <s v="Eur/Chf R 03/18/2020"/>
        <s v="Eur/Usd R 03/18/2020"/>
        <s v="Hermes International"/>
        <s v="Total Sa"/>
        <s v="L'Oreal"/>
        <s v="Sanofi"/>
        <s v="Lvmh Moet Hennessy Louis Vui"/>
        <s v="Gold Napoleon Frf 20"/>
        <s v="Engie"/>
        <s v="S.O.I.T.E.C."/>
        <s v="FxFwd"/>
        <s v="Royal Dutch Shell Plc-A Shs"/>
        <s v="Liontrust Uk Smaller Co-I"/>
        <s v="Liontrust Asia Income-I Inc"/>
        <s v="Ishares Core Ftse 100"/>
        <s v="Ishares Core Euro Stoxx 50"/>
        <s v="Ishares Euro Dividend"/>
        <s v="Ishares Msci Jpn Month Eur-H"/>
        <s v="Glg Japan Corealpha-Ih Eur"/>
        <s v="Muzinich Sh Dur Hg Yd-Husda"/>
        <s v="Muzinich Short Dur Hg Yd-Hea"/>
        <s v="Muzinich Short Dur Hg Yd-Hgi"/>
        <s v="Muzinich Sd Hy-Hd Chf Acc S"/>
        <s v="Ml Alphaquest Ucit-Eur Inst"/>
        <s v="Ml Alphaquest Ucit-Chf Inst"/>
        <s v="Ml Alphaquest Ucit-Usd Inst"/>
        <s v="Liontrust Gf Abs Ret Bd-A5D"/>
        <s v="Blackwall Europe Equty-R Eur"/>
        <s v="Liontrust Gf Strategc Bd-A5A"/>
        <s v="Blackwall Europe L/S-I Eur"/>
        <s v="Wishdom Gold ETF"/>
        <s v="Wt Physical Swiss Gold"/>
        <s v="Arcano European Income I-Iba"/>
        <s v="Arcano European Inc I-HACF"/>
        <s v="Twy Fs Fds-Q Cap Mang Ft-I1E"/>
        <s v="Twnty Fs Fds-Qcp Mang Ft-I1U"/>
        <s v="Twy Fs Fds-Q Cap Mang Ft-R1E"/>
        <s v="Esl Direct Lending-A"/>
        <s v="Dharmaresearch Dr Equity-A"/>
        <s v="Dharmaresearch Sa-Dr Gl Cr-A"/>
        <s v="Stmicroelectronics Nv"/>
        <s v="Ferrari Nv"/>
        <s v="Amazon.Com Inc"/>
        <s v="Apple Inc"/>
        <s v="Cheniere Energy Inc"/>
        <s v="Cisco Systems Inc"/>
        <s v="Coca-Cola Femsa Sab Cv"/>
        <s v="Ebay Inc"/>
        <s v="Hexcel Corp"/>
        <s v="Ishares Core S&amp;P 500 Etf"/>
        <s v="Lyft Inc-A"/>
        <s v="Spdr S&amp;P 500 Etf Trust"/>
        <s v="Spdr Gold Shares"/>
        <s v="Spdr S&amp;P Dividend Etf"/>
        <s v="Tellurian Inc"/>
        <s v="Tesla Inc"/>
        <s v="Toronto-Dominion Bank"/>
        <s v="Petronas Global Sukuk Lt"/>
        <s v="Ll Assets Spv C Eur Sp #"/>
        <s v="Ll Assets Spv D Eur Sp #"/>
        <s v="Ll Assets Spv F Eur Sp #"/>
        <s v="Ll Assets Spv G Eur Sp #"/>
        <s v="Or Maple Leaf (Pce) 1 Oz"/>
        <s v="Maranatha Fund Ltd"/>
        <s v="Serenitas Cr Gam Off C1"/>
        <s v="Alphaquest Original"/>
        <s v="0% Holdikks Jul2200 (Ost)  15.07.2200"/>
        <s v="Blackwall Europe Equty-A Eur"/>
        <s v="Ishares Msci Emerging Market"/>
        <s v=""/>
        <s v="Liontrust Gf Asia Inc-A1Eauh"/>
        <s v="Muzinich Eu Cr Alpha-Husdanh"/>
        <s v="Muzinich Eu Cre Al-Heura Fdr"/>
        <s v="Muzinich Eu Cre Al-Hgbpa Fdr"/>
        <s v="SingleBond"/>
        <s v="SingleHedgeFund"/>
        <s v="SingleStock"/>
        <s v="Gold Spot   $/Oz"/>
        <s v="Xau-Chf X-Rate"/>
        <s v="Xau-Eur X-Rate"/>
        <s v="Xau-Gbp X-Rate"/>
        <s v="Cash"/>
        <s v="FxExposure"/>
        <s v="Usd/Eur R 11/25/2019" u="1"/>
        <s v="Eur/Chf R 12/18/2019" u="1"/>
        <s v="Eur/Gbp R 12/18/2019" u="1"/>
        <s v="Eur/Usd R 12/18/2019" u="1"/>
      </sharedItems>
    </cacheField>
    <cacheField name="AssetClass" numFmtId="0">
      <sharedItems count="7">
        <s v="Equities"/>
        <s v="Alternatives"/>
        <s v="Cash"/>
        <s v="Bonds"/>
        <s v="FxHedging"/>
        <s v="FxFwd"/>
        <s v=""/>
      </sharedItems>
    </cacheField>
    <cacheField name="AssetType" numFmtId="0">
      <sharedItems count="24">
        <s v="SingleStock"/>
        <s v="PrivatEquiy"/>
        <s v="Metal"/>
        <s v="Sectorial"/>
        <s v="MM+Deposits"/>
        <s v="Equity L/S"/>
        <s v="Convertible"/>
        <s v="FxFwd"/>
        <s v="Europe"/>
        <s v="Asia/China"/>
        <s v="Japan"/>
        <s v="HighYield"/>
        <s v="CTA"/>
        <s v="Credit"/>
        <s v="Loans"/>
        <s v="PrivateLoan"/>
        <s v="WorldEquities"/>
        <s v="GlobalCredit"/>
        <s v="SingleBond"/>
        <s v="USA"/>
        <s v="SingleHedgeFund"/>
        <s v="Emerging"/>
        <s v="Cash"/>
        <s v="FxExposure"/>
      </sharedItems>
    </cacheField>
    <cacheField name="Cur" numFmtId="0">
      <sharedItems count="7">
        <s v="EUR"/>
        <s v="CAD"/>
        <s v="CHF"/>
        <s v="USD"/>
        <s v=""/>
        <s v="GBP"/>
        <s v="var"/>
      </sharedItems>
    </cacheField>
    <cacheField name="Benchmark" numFmtId="0">
      <sharedItems count="10">
        <s v=""/>
        <s v="XAU Curncy"/>
        <s v="SXW1I0R Index"/>
        <s v="LOIMMUI SW Equity"/>
        <s v="EXDMX3MN Index"/>
        <s v="EXDMCBEU Index"/>
        <s v="XAUEUR Curncy"/>
        <s v="LU13TRUU Index"/>
        <s v="SCGMFLP KY Equity"/>
        <s v="LP01TREU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s v="BE0974310428"/>
    <x v="0"/>
    <n v="0.33739999999999998"/>
    <x v="0"/>
    <x v="0"/>
    <x v="0"/>
    <x v="0"/>
    <s v="XFAB FP Equity"/>
    <x v="0"/>
    <x v="0"/>
    <x v="0"/>
    <x v="0"/>
    <x v="0"/>
  </r>
  <r>
    <s v="BMG0415W1010"/>
    <x v="1"/>
    <n v="1.0531999999999999"/>
    <x v="0"/>
    <x v="1"/>
    <x v="0"/>
    <x v="1"/>
    <s v="AM2EUR1 BH Equity"/>
    <x v="1"/>
    <x v="1"/>
    <x v="1"/>
    <x v="0"/>
    <x v="0"/>
  </r>
  <r>
    <s v="CA95942C1041"/>
    <x v="1"/>
    <n v="0.13100000000000001"/>
    <x v="0"/>
    <x v="1"/>
    <x v="0"/>
    <x v="1"/>
    <s v="WRX CN Equity"/>
    <x v="2"/>
    <x v="0"/>
    <x v="0"/>
    <x v="1"/>
    <x v="0"/>
  </r>
  <r>
    <s v="CH0002497458"/>
    <x v="2"/>
    <n v="20.195699999999999"/>
    <x v="0"/>
    <x v="2"/>
    <x v="1"/>
    <x v="2"/>
    <s v="SGSN SW Equity"/>
    <x v="3"/>
    <x v="0"/>
    <x v="0"/>
    <x v="2"/>
    <x v="0"/>
  </r>
  <r>
    <s v="CH0002811260"/>
    <x v="3"/>
    <n v="0.11"/>
    <x v="1"/>
    <x v="3"/>
    <x v="0"/>
    <x v="3"/>
    <s v="Gold500g"/>
    <x v="4"/>
    <x v="1"/>
    <x v="2"/>
    <x v="3"/>
    <x v="1"/>
  </r>
  <r>
    <s v="CH0002811286"/>
    <x v="4"/>
    <n v="0.65"/>
    <x v="1"/>
    <x v="4"/>
    <x v="0"/>
    <x v="4"/>
    <s v="GOLDPLSF Comdty"/>
    <x v="5"/>
    <x v="1"/>
    <x v="2"/>
    <x v="2"/>
    <x v="0"/>
  </r>
  <r>
    <s v="CH0002811286"/>
    <x v="3"/>
    <n v="4.7699999999999996"/>
    <x v="1"/>
    <x v="3"/>
    <x v="0"/>
    <x v="3"/>
    <s v="GOLDPLSF Comdty"/>
    <x v="5"/>
    <x v="1"/>
    <x v="2"/>
    <x v="2"/>
    <x v="0"/>
  </r>
  <r>
    <s v="CH0002811286"/>
    <x v="5"/>
    <n v="57.479199999999999"/>
    <x v="0"/>
    <x v="5"/>
    <x v="0"/>
    <x v="4"/>
    <s v="GOLDPLSF Comdty"/>
    <x v="5"/>
    <x v="1"/>
    <x v="2"/>
    <x v="2"/>
    <x v="0"/>
  </r>
  <r>
    <s v="CH0002876487"/>
    <x v="5"/>
    <n v="0.70130000000000003"/>
    <x v="0"/>
    <x v="5"/>
    <x v="0"/>
    <x v="4"/>
    <s v="XPTCHF Curncy"/>
    <x v="6"/>
    <x v="1"/>
    <x v="2"/>
    <x v="2"/>
    <x v="0"/>
  </r>
  <r>
    <s v="CH0010726963"/>
    <x v="2"/>
    <n v="1.2646999999999999"/>
    <x v="0"/>
    <x v="2"/>
    <x v="1"/>
    <x v="2"/>
    <s v="RIVN SW Equity"/>
    <x v="7"/>
    <x v="0"/>
    <x v="0"/>
    <x v="2"/>
    <x v="0"/>
  </r>
  <r>
    <s v="CH0011075394"/>
    <x v="2"/>
    <n v="1.4053"/>
    <x v="0"/>
    <x v="2"/>
    <x v="1"/>
    <x v="2"/>
    <s v="ZURN SW Equity"/>
    <x v="8"/>
    <x v="0"/>
    <x v="0"/>
    <x v="2"/>
    <x v="0"/>
  </r>
  <r>
    <s v="CH0012005267"/>
    <x v="2"/>
    <n v="8.0761000000000003"/>
    <x v="0"/>
    <x v="2"/>
    <x v="1"/>
    <x v="2"/>
    <s v="NOVN SW Equity"/>
    <x v="9"/>
    <x v="0"/>
    <x v="0"/>
    <x v="2"/>
    <x v="0"/>
  </r>
  <r>
    <s v="CH0012032048"/>
    <x v="2"/>
    <n v="22.1205"/>
    <x v="0"/>
    <x v="2"/>
    <x v="1"/>
    <x v="2"/>
    <s v="ROG SW Equity"/>
    <x v="10"/>
    <x v="0"/>
    <x v="0"/>
    <x v="2"/>
    <x v="0"/>
  </r>
  <r>
    <s v="CH0012138605"/>
    <x v="2"/>
    <n v="2.6728000000000001"/>
    <x v="0"/>
    <x v="2"/>
    <x v="1"/>
    <x v="2"/>
    <s v="ADEN SW Equity"/>
    <x v="11"/>
    <x v="0"/>
    <x v="0"/>
    <x v="2"/>
    <x v="0"/>
  </r>
  <r>
    <s v="CH0012142631"/>
    <x v="2"/>
    <n v="1.5636000000000001"/>
    <x v="0"/>
    <x v="2"/>
    <x v="1"/>
    <x v="2"/>
    <s v="CLN SW Equity"/>
    <x v="12"/>
    <x v="0"/>
    <x v="0"/>
    <x v="2"/>
    <x v="0"/>
  </r>
  <r>
    <s v="CH0012221716"/>
    <x v="2"/>
    <n v="7.7534000000000001"/>
    <x v="0"/>
    <x v="2"/>
    <x v="1"/>
    <x v="2"/>
    <s v="ABBN SW Equity"/>
    <x v="13"/>
    <x v="0"/>
    <x v="0"/>
    <x v="2"/>
    <x v="0"/>
  </r>
  <r>
    <s v="CH0012268360"/>
    <x v="2"/>
    <n v="2.5100000000000001E-2"/>
    <x v="0"/>
    <x v="2"/>
    <x v="1"/>
    <x v="2"/>
    <s v="KUD SW Equity"/>
    <x v="14"/>
    <x v="0"/>
    <x v="0"/>
    <x v="2"/>
    <x v="0"/>
  </r>
  <r>
    <s v="CH0017875789"/>
    <x v="2"/>
    <n v="10.273099999999999"/>
    <x v="0"/>
    <x v="2"/>
    <x v="1"/>
    <x v="2"/>
    <s v="JFN SW Equity"/>
    <x v="15"/>
    <x v="0"/>
    <x v="0"/>
    <x v="2"/>
    <x v="0"/>
  </r>
  <r>
    <s v="CH0038863350"/>
    <x v="6"/>
    <n v="2.4"/>
    <x v="1"/>
    <x v="6"/>
    <x v="1"/>
    <x v="4"/>
    <s v="NESN SW Equity"/>
    <x v="16"/>
    <x v="0"/>
    <x v="0"/>
    <x v="2"/>
    <x v="0"/>
  </r>
  <r>
    <s v="CH0038863350"/>
    <x v="2"/>
    <n v="16.101500000000001"/>
    <x v="0"/>
    <x v="2"/>
    <x v="1"/>
    <x v="2"/>
    <s v="NESN SW Equity"/>
    <x v="16"/>
    <x v="0"/>
    <x v="0"/>
    <x v="2"/>
    <x v="0"/>
  </r>
  <r>
    <s v="CH0038863350"/>
    <x v="7"/>
    <n v="18.310600000000001"/>
    <x v="0"/>
    <x v="7"/>
    <x v="0"/>
    <x v="4"/>
    <s v="NESN SW Equity"/>
    <x v="16"/>
    <x v="0"/>
    <x v="0"/>
    <x v="2"/>
    <x v="0"/>
  </r>
  <r>
    <s v="CH0038863350"/>
    <x v="8"/>
    <n v="14.7347"/>
    <x v="0"/>
    <x v="8"/>
    <x v="0"/>
    <x v="4"/>
    <s v="NESN SW Equity"/>
    <x v="16"/>
    <x v="0"/>
    <x v="0"/>
    <x v="2"/>
    <x v="0"/>
  </r>
  <r>
    <s v="CH0244767585"/>
    <x v="2"/>
    <n v="1.4480999999999999"/>
    <x v="0"/>
    <x v="2"/>
    <x v="1"/>
    <x v="2"/>
    <s v="UBSG SW Equity"/>
    <x v="17"/>
    <x v="0"/>
    <x v="0"/>
    <x v="2"/>
    <x v="0"/>
  </r>
  <r>
    <s v="CH0385841447"/>
    <x v="9"/>
    <n v="1.9073"/>
    <x v="0"/>
    <x v="9"/>
    <x v="0"/>
    <x v="4"/>
    <s v="UBS0 04/24/25 Corp"/>
    <x v="18"/>
    <x v="0"/>
    <x v="3"/>
    <x v="0"/>
    <x v="2"/>
  </r>
  <r>
    <s v="CH0385841447"/>
    <x v="0"/>
    <n v="1.8855"/>
    <x v="0"/>
    <x v="0"/>
    <x v="0"/>
    <x v="0"/>
    <s v="UBS0 04/24/25 Corp"/>
    <x v="18"/>
    <x v="0"/>
    <x v="3"/>
    <x v="0"/>
    <x v="2"/>
  </r>
  <r>
    <s v="CH0396727882"/>
    <x v="10"/>
    <n v="7.6315999999999997"/>
    <x v="0"/>
    <x v="10"/>
    <x v="2"/>
    <x v="2"/>
    <s v="LOIMUMA SW Equity"/>
    <x v="19"/>
    <x v="2"/>
    <x v="4"/>
    <x v="3"/>
    <x v="3"/>
  </r>
  <r>
    <s v="CH0413289155"/>
    <x v="9"/>
    <n v="3.9180000000000001"/>
    <x v="0"/>
    <x v="9"/>
    <x v="0"/>
    <x v="4"/>
    <s v="EXANE 0 10/22/2021 Corp"/>
    <x v="20"/>
    <x v="1"/>
    <x v="5"/>
    <x v="0"/>
    <x v="4"/>
  </r>
  <r>
    <s v="CH0413289155"/>
    <x v="0"/>
    <n v="3.6888999999999998"/>
    <x v="0"/>
    <x v="0"/>
    <x v="0"/>
    <x v="0"/>
    <s v="EXANE 0 10/22/2021 Corp"/>
    <x v="20"/>
    <x v="1"/>
    <x v="5"/>
    <x v="0"/>
    <x v="4"/>
  </r>
  <r>
    <s v="CH0432492467"/>
    <x v="2"/>
    <n v="0.97519999999999996"/>
    <x v="0"/>
    <x v="2"/>
    <x v="1"/>
    <x v="2"/>
    <s v="ALC SW Equity"/>
    <x v="21"/>
    <x v="0"/>
    <x v="0"/>
    <x v="2"/>
    <x v="0"/>
  </r>
  <r>
    <s v="CH0469130410"/>
    <x v="11"/>
    <n v="3.0160999999999998"/>
    <x v="0"/>
    <x v="11"/>
    <x v="3"/>
    <x v="4"/>
    <s v="EXANE 0 07/04/2022 Corp"/>
    <x v="22"/>
    <x v="3"/>
    <x v="6"/>
    <x v="0"/>
    <x v="5"/>
  </r>
  <r>
    <s v="CH0469130410"/>
    <x v="4"/>
    <n v="0.34"/>
    <x v="1"/>
    <x v="4"/>
    <x v="0"/>
    <x v="4"/>
    <s v="EXANE 0 07/04/2022 Corp"/>
    <x v="22"/>
    <x v="3"/>
    <x v="6"/>
    <x v="0"/>
    <x v="5"/>
  </r>
  <r>
    <s v="CH0469130410"/>
    <x v="12"/>
    <n v="0.48"/>
    <x v="1"/>
    <x v="12"/>
    <x v="0"/>
    <x v="4"/>
    <s v="EXANE 0 07/04/2022 Corp"/>
    <x v="22"/>
    <x v="3"/>
    <x v="6"/>
    <x v="0"/>
    <x v="5"/>
  </r>
  <r>
    <s v="CH0469130410"/>
    <x v="6"/>
    <n v="1.6"/>
    <x v="1"/>
    <x v="6"/>
    <x v="1"/>
    <x v="4"/>
    <s v="EXANE 0 07/04/2022 Corp"/>
    <x v="22"/>
    <x v="3"/>
    <x v="6"/>
    <x v="0"/>
    <x v="5"/>
  </r>
  <r>
    <s v="CH0469130410"/>
    <x v="13"/>
    <n v="2.9771000000000001"/>
    <x v="0"/>
    <x v="13"/>
    <x v="0"/>
    <x v="4"/>
    <s v="EXANE 0 07/04/2022 Corp"/>
    <x v="22"/>
    <x v="3"/>
    <x v="6"/>
    <x v="0"/>
    <x v="5"/>
  </r>
  <r>
    <s v="CH0469130410"/>
    <x v="14"/>
    <n v="3.6899000000000002"/>
    <x v="0"/>
    <x v="14"/>
    <x v="0"/>
    <x v="4"/>
    <s v="EXANE 0 07/04/2022 Corp"/>
    <x v="22"/>
    <x v="3"/>
    <x v="6"/>
    <x v="0"/>
    <x v="5"/>
  </r>
  <r>
    <s v="CH0469130410"/>
    <x v="9"/>
    <n v="2.9481999999999999"/>
    <x v="0"/>
    <x v="9"/>
    <x v="0"/>
    <x v="4"/>
    <s v="EXANE 0 07/04/2022 Corp"/>
    <x v="22"/>
    <x v="3"/>
    <x v="6"/>
    <x v="0"/>
    <x v="5"/>
  </r>
  <r>
    <s v="CH0469130410"/>
    <x v="0"/>
    <n v="2.8757000000000001"/>
    <x v="0"/>
    <x v="0"/>
    <x v="0"/>
    <x v="0"/>
    <s v="EXANE 0 07/04/2022 Corp"/>
    <x v="22"/>
    <x v="3"/>
    <x v="6"/>
    <x v="0"/>
    <x v="5"/>
  </r>
  <r>
    <s v="CH0469130410"/>
    <x v="15"/>
    <n v="2.9769000000000001"/>
    <x v="0"/>
    <x v="7"/>
    <x v="1"/>
    <x v="4"/>
    <s v="EXANE 0 07/04/2022 Corp"/>
    <x v="22"/>
    <x v="3"/>
    <x v="6"/>
    <x v="0"/>
    <x v="5"/>
  </r>
  <r>
    <s v="CH0469130410"/>
    <x v="16"/>
    <n v="3.0287000000000002"/>
    <x v="0"/>
    <x v="15"/>
    <x v="1"/>
    <x v="5"/>
    <s v="EXANE 0 07/04/2022 Corp"/>
    <x v="22"/>
    <x v="3"/>
    <x v="6"/>
    <x v="0"/>
    <x v="5"/>
  </r>
  <r>
    <s v="CH0469130410"/>
    <x v="17"/>
    <n v="5.0297999999999998"/>
    <x v="0"/>
    <x v="5"/>
    <x v="3"/>
    <x v="6"/>
    <s v="EXANE 0 07/04/2022 Corp"/>
    <x v="22"/>
    <x v="3"/>
    <x v="6"/>
    <x v="0"/>
    <x v="5"/>
  </r>
  <r>
    <s v="CH0469130410"/>
    <x v="18"/>
    <n v="2.9649999999999999"/>
    <x v="0"/>
    <x v="16"/>
    <x v="0"/>
    <x v="4"/>
    <s v="EXANE 0 07/04/2022 Corp"/>
    <x v="22"/>
    <x v="3"/>
    <x v="6"/>
    <x v="0"/>
    <x v="5"/>
  </r>
  <r>
    <s v="CH0469130410"/>
    <x v="19"/>
    <n v="4.8716999999999997"/>
    <x v="0"/>
    <x v="17"/>
    <x v="0"/>
    <x v="0"/>
    <s v="EXANE 0 07/04/2022 Corp"/>
    <x v="22"/>
    <x v="3"/>
    <x v="6"/>
    <x v="0"/>
    <x v="5"/>
  </r>
  <r>
    <s v="CH0478634105"/>
    <x v="4"/>
    <n v="0.45"/>
    <x v="1"/>
    <x v="4"/>
    <x v="0"/>
    <x v="4"/>
    <s v="AEVS SW Equity"/>
    <x v="23"/>
    <x v="0"/>
    <x v="0"/>
    <x v="2"/>
    <x v="0"/>
  </r>
  <r>
    <s v="CH0478634105"/>
    <x v="20"/>
    <n v="79.214100000000002"/>
    <x v="0"/>
    <x v="8"/>
    <x v="0"/>
    <x v="4"/>
    <s v="AEVS SW Equity"/>
    <x v="23"/>
    <x v="0"/>
    <x v="0"/>
    <x v="2"/>
    <x v="0"/>
  </r>
  <r>
    <s v="CH0478634105"/>
    <x v="21"/>
    <n v="52.905500000000004"/>
    <x v="0"/>
    <x v="8"/>
    <x v="0"/>
    <x v="4"/>
    <s v="AEVS SW Equity"/>
    <x v="23"/>
    <x v="0"/>
    <x v="0"/>
    <x v="2"/>
    <x v="0"/>
  </r>
  <r>
    <s v="DE000BAY0017"/>
    <x v="4"/>
    <n v="0.15"/>
    <x v="1"/>
    <x v="4"/>
    <x v="0"/>
    <x v="4"/>
    <s v="BAYN GR Equity"/>
    <x v="24"/>
    <x v="0"/>
    <x v="0"/>
    <x v="0"/>
    <x v="0"/>
  </r>
  <r>
    <s v="ES0105200002"/>
    <x v="6"/>
    <n v="0.01"/>
    <x v="1"/>
    <x v="6"/>
    <x v="1"/>
    <x v="4"/>
    <s v="ABG/P SM Equity"/>
    <x v="25"/>
    <x v="0"/>
    <x v="0"/>
    <x v="0"/>
    <x v="0"/>
  </r>
  <r>
    <s v="EUR/CHF 03/18/2020 Curncy"/>
    <x v="22"/>
    <n v="-35.475299999999997"/>
    <x v="0"/>
    <x v="18"/>
    <x v="1"/>
    <x v="4"/>
    <s v="EUR/CHF 03/18/2020 Curncy"/>
    <x v="26"/>
    <x v="4"/>
    <x v="7"/>
    <x v="0"/>
    <x v="0"/>
  </r>
  <r>
    <s v="EUR/CHF 03/18/2020 Curncy"/>
    <x v="15"/>
    <n v="-44.061100000000003"/>
    <x v="0"/>
    <x v="7"/>
    <x v="1"/>
    <x v="4"/>
    <s v="EUR/CHF 03/18/2020 Curncy"/>
    <x v="26"/>
    <x v="4"/>
    <x v="7"/>
    <x v="0"/>
    <x v="0"/>
  </r>
  <r>
    <s v="EUR/CHF 03/18/2020 Curncy"/>
    <x v="16"/>
    <n v="-41.4803"/>
    <x v="0"/>
    <x v="15"/>
    <x v="1"/>
    <x v="5"/>
    <s v="EUR/CHF 03/18/2020 Curncy"/>
    <x v="26"/>
    <x v="4"/>
    <x v="7"/>
    <x v="0"/>
    <x v="0"/>
  </r>
  <r>
    <s v="EUR/USD 03/18/2020 Curncy"/>
    <x v="11"/>
    <n v="-50.980600000000003"/>
    <x v="0"/>
    <x v="11"/>
    <x v="3"/>
    <x v="4"/>
    <s v="EUR/USD 03/18/2020 Curncy"/>
    <x v="27"/>
    <x v="4"/>
    <x v="7"/>
    <x v="0"/>
    <x v="0"/>
  </r>
  <r>
    <s v="EUR/USD 03/18/2020 Curncy"/>
    <x v="17"/>
    <n v="-23.380099999999999"/>
    <x v="0"/>
    <x v="5"/>
    <x v="3"/>
    <x v="6"/>
    <s v="EUR/USD 03/18/2020 Curncy"/>
    <x v="27"/>
    <x v="4"/>
    <x v="7"/>
    <x v="0"/>
    <x v="0"/>
  </r>
  <r>
    <s v="FR0000052292"/>
    <x v="4"/>
    <n v="0.03"/>
    <x v="1"/>
    <x v="4"/>
    <x v="0"/>
    <x v="4"/>
    <s v="RMS FP Equity"/>
    <x v="28"/>
    <x v="0"/>
    <x v="0"/>
    <x v="0"/>
    <x v="0"/>
  </r>
  <r>
    <s v="FR0000120271"/>
    <x v="4"/>
    <n v="0.24"/>
    <x v="1"/>
    <x v="4"/>
    <x v="0"/>
    <x v="4"/>
    <s v="FP FP Equity"/>
    <x v="29"/>
    <x v="0"/>
    <x v="0"/>
    <x v="0"/>
    <x v="0"/>
  </r>
  <r>
    <s v="FR0000120321"/>
    <x v="4"/>
    <n v="0.66"/>
    <x v="1"/>
    <x v="4"/>
    <x v="0"/>
    <x v="4"/>
    <s v="OR FP Equity"/>
    <x v="30"/>
    <x v="0"/>
    <x v="0"/>
    <x v="0"/>
    <x v="0"/>
  </r>
  <r>
    <s v="FR0000120578"/>
    <x v="4"/>
    <n v="0.43"/>
    <x v="1"/>
    <x v="4"/>
    <x v="0"/>
    <x v="4"/>
    <s v="SAN FP Equity"/>
    <x v="31"/>
    <x v="0"/>
    <x v="0"/>
    <x v="0"/>
    <x v="0"/>
  </r>
  <r>
    <s v="FR0000121014"/>
    <x v="4"/>
    <n v="0.42"/>
    <x v="1"/>
    <x v="4"/>
    <x v="0"/>
    <x v="4"/>
    <s v="MC FP Equity"/>
    <x v="32"/>
    <x v="0"/>
    <x v="0"/>
    <x v="0"/>
    <x v="0"/>
  </r>
  <r>
    <s v="FR0003999036"/>
    <x v="5"/>
    <n v="15.7904"/>
    <x v="0"/>
    <x v="5"/>
    <x v="0"/>
    <x v="4"/>
    <s v="Napo"/>
    <x v="33"/>
    <x v="1"/>
    <x v="2"/>
    <x v="0"/>
    <x v="6"/>
  </r>
  <r>
    <s v="FR0010208488"/>
    <x v="4"/>
    <n v="0.06"/>
    <x v="1"/>
    <x v="4"/>
    <x v="0"/>
    <x v="4"/>
    <s v="ENGI FP Equity"/>
    <x v="34"/>
    <x v="0"/>
    <x v="0"/>
    <x v="0"/>
    <x v="0"/>
  </r>
  <r>
    <s v="FR0013227113"/>
    <x v="0"/>
    <n v="0.67059999999999997"/>
    <x v="0"/>
    <x v="0"/>
    <x v="0"/>
    <x v="0"/>
    <s v="SOI FP Equity"/>
    <x v="35"/>
    <x v="0"/>
    <x v="0"/>
    <x v="0"/>
    <x v="0"/>
  </r>
  <r>
    <s v="FxFwd"/>
    <x v="3"/>
    <n v="-1.35"/>
    <x v="1"/>
    <x v="3"/>
    <x v="0"/>
    <x v="3"/>
    <s v="FxFwd"/>
    <x v="36"/>
    <x v="5"/>
    <x v="7"/>
    <x v="4"/>
    <x v="0"/>
  </r>
  <r>
    <s v="FxFwd"/>
    <x v="6"/>
    <n v="-28.55"/>
    <x v="1"/>
    <x v="6"/>
    <x v="1"/>
    <x v="4"/>
    <s v="FxFwd"/>
    <x v="36"/>
    <x v="5"/>
    <x v="7"/>
    <x v="4"/>
    <x v="0"/>
  </r>
  <r>
    <s v="GB00B03MLX29"/>
    <x v="6"/>
    <n v="1.66"/>
    <x v="1"/>
    <x v="6"/>
    <x v="1"/>
    <x v="4"/>
    <s v="RDSA NA Equity"/>
    <x v="37"/>
    <x v="0"/>
    <x v="0"/>
    <x v="0"/>
    <x v="0"/>
  </r>
  <r>
    <s v="GB00B03MLX29"/>
    <x v="16"/>
    <n v="0.84019999999999995"/>
    <x v="0"/>
    <x v="15"/>
    <x v="1"/>
    <x v="5"/>
    <s v="RDSA NA Equity"/>
    <x v="37"/>
    <x v="0"/>
    <x v="0"/>
    <x v="0"/>
    <x v="0"/>
  </r>
  <r>
    <s v="GB00B57TMD12"/>
    <x v="10"/>
    <n v="2.3717000000000001"/>
    <x v="0"/>
    <x v="10"/>
    <x v="2"/>
    <x v="2"/>
    <s v="LIOUKSI LN Equity"/>
    <x v="38"/>
    <x v="0"/>
    <x v="8"/>
    <x v="5"/>
    <x v="0"/>
  </r>
  <r>
    <s v="GB00B7BZB324"/>
    <x v="14"/>
    <n v="0.79330000000000001"/>
    <x v="0"/>
    <x v="14"/>
    <x v="0"/>
    <x v="4"/>
    <s v="LIOAIII LN Equity"/>
    <x v="39"/>
    <x v="0"/>
    <x v="9"/>
    <x v="5"/>
    <x v="0"/>
  </r>
  <r>
    <s v="GB00B7BZB324"/>
    <x v="10"/>
    <n v="4.0316999999999998"/>
    <x v="0"/>
    <x v="10"/>
    <x v="2"/>
    <x v="2"/>
    <s v="LIOAIII LN Equity"/>
    <x v="39"/>
    <x v="0"/>
    <x v="9"/>
    <x v="5"/>
    <x v="0"/>
  </r>
  <r>
    <s v="IE0005042456"/>
    <x v="10"/>
    <n v="2.7126999999999999"/>
    <x v="0"/>
    <x v="10"/>
    <x v="2"/>
    <x v="2"/>
    <s v="ISF LN Equity"/>
    <x v="40"/>
    <x v="0"/>
    <x v="8"/>
    <x v="5"/>
    <x v="0"/>
  </r>
  <r>
    <s v="IE0008471009"/>
    <x v="23"/>
    <n v="4.7706"/>
    <x v="0"/>
    <x v="19"/>
    <x v="0"/>
    <x v="4"/>
    <s v="EUN2 GR Equity"/>
    <x v="41"/>
    <x v="0"/>
    <x v="8"/>
    <x v="0"/>
    <x v="0"/>
  </r>
  <r>
    <s v="IE00B0M62S72"/>
    <x v="10"/>
    <n v="3.6153"/>
    <x v="0"/>
    <x v="10"/>
    <x v="2"/>
    <x v="2"/>
    <s v="IDVY NA Equity"/>
    <x v="42"/>
    <x v="0"/>
    <x v="8"/>
    <x v="0"/>
    <x v="0"/>
  </r>
  <r>
    <s v="IE00B42Z5J44"/>
    <x v="10"/>
    <n v="3.0581999999999998"/>
    <x v="0"/>
    <x v="10"/>
    <x v="2"/>
    <x v="2"/>
    <s v="IJPE LN Equity"/>
    <x v="43"/>
    <x v="0"/>
    <x v="10"/>
    <x v="0"/>
    <x v="0"/>
  </r>
  <r>
    <s v="IE00B578XK25"/>
    <x v="9"/>
    <n v="0.72719999999999996"/>
    <x v="0"/>
    <x v="9"/>
    <x v="0"/>
    <x v="4"/>
    <s v="GLGAAXU ID Equity"/>
    <x v="44"/>
    <x v="0"/>
    <x v="10"/>
    <x v="0"/>
    <x v="0"/>
  </r>
  <r>
    <s v="IE00B59XD059"/>
    <x v="11"/>
    <n v="5.0651999999999999"/>
    <x v="0"/>
    <x v="11"/>
    <x v="3"/>
    <x v="4"/>
    <s v="MUZSDUA ID Equity"/>
    <x v="45"/>
    <x v="3"/>
    <x v="11"/>
    <x v="3"/>
    <x v="0"/>
  </r>
  <r>
    <s v="IE00B5BHGW80"/>
    <x v="4"/>
    <n v="0.51"/>
    <x v="1"/>
    <x v="4"/>
    <x v="0"/>
    <x v="4"/>
    <s v="MUZSDEA ID Equity"/>
    <x v="46"/>
    <x v="3"/>
    <x v="11"/>
    <x v="0"/>
    <x v="0"/>
  </r>
  <r>
    <s v="IE00B5BHGW80"/>
    <x v="12"/>
    <n v="0.69"/>
    <x v="1"/>
    <x v="12"/>
    <x v="0"/>
    <x v="4"/>
    <s v="MUZSDEA ID Equity"/>
    <x v="46"/>
    <x v="3"/>
    <x v="11"/>
    <x v="0"/>
    <x v="0"/>
  </r>
  <r>
    <s v="IE00B5BHGW80"/>
    <x v="6"/>
    <n v="1.53"/>
    <x v="1"/>
    <x v="6"/>
    <x v="1"/>
    <x v="4"/>
    <s v="MUZSDEA ID Equity"/>
    <x v="46"/>
    <x v="3"/>
    <x v="11"/>
    <x v="0"/>
    <x v="0"/>
  </r>
  <r>
    <s v="IE00B5BHGW80"/>
    <x v="13"/>
    <n v="4.1081000000000003"/>
    <x v="0"/>
    <x v="13"/>
    <x v="0"/>
    <x v="4"/>
    <s v="MUZSDEA ID Equity"/>
    <x v="46"/>
    <x v="3"/>
    <x v="11"/>
    <x v="0"/>
    <x v="0"/>
  </r>
  <r>
    <s v="IE00B5BHGW80"/>
    <x v="14"/>
    <n v="8.5922000000000001"/>
    <x v="0"/>
    <x v="14"/>
    <x v="0"/>
    <x v="4"/>
    <s v="MUZSDEA ID Equity"/>
    <x v="46"/>
    <x v="3"/>
    <x v="11"/>
    <x v="0"/>
    <x v="0"/>
  </r>
  <r>
    <s v="IE00B5BHGW80"/>
    <x v="9"/>
    <n v="6.0846"/>
    <x v="0"/>
    <x v="9"/>
    <x v="0"/>
    <x v="4"/>
    <s v="MUZSDEA ID Equity"/>
    <x v="46"/>
    <x v="3"/>
    <x v="11"/>
    <x v="0"/>
    <x v="0"/>
  </r>
  <r>
    <s v="IE00B5BHGW80"/>
    <x v="0"/>
    <n v="5.3624999999999998"/>
    <x v="0"/>
    <x v="0"/>
    <x v="0"/>
    <x v="0"/>
    <s v="MUZSDEA ID Equity"/>
    <x v="46"/>
    <x v="3"/>
    <x v="11"/>
    <x v="0"/>
    <x v="0"/>
  </r>
  <r>
    <s v="IE00B5BHGW80"/>
    <x v="24"/>
    <n v="6.9302999999999999"/>
    <x v="0"/>
    <x v="20"/>
    <x v="0"/>
    <x v="7"/>
    <s v="MUZSDEA ID Equity"/>
    <x v="46"/>
    <x v="3"/>
    <x v="11"/>
    <x v="0"/>
    <x v="0"/>
  </r>
  <r>
    <s v="IE00B685HQ37"/>
    <x v="10"/>
    <n v="2.8184"/>
    <x v="0"/>
    <x v="10"/>
    <x v="2"/>
    <x v="2"/>
    <s v="MUZSDGI ID Equity"/>
    <x v="47"/>
    <x v="3"/>
    <x v="11"/>
    <x v="5"/>
    <x v="0"/>
  </r>
  <r>
    <s v="IE00B96BJC40"/>
    <x v="22"/>
    <n v="11.9625"/>
    <x v="0"/>
    <x v="18"/>
    <x v="1"/>
    <x v="4"/>
    <s v="MUHCHAS ID Equity"/>
    <x v="48"/>
    <x v="3"/>
    <x v="11"/>
    <x v="2"/>
    <x v="0"/>
  </r>
  <r>
    <s v="IE00B96BJC40"/>
    <x v="15"/>
    <n v="4.3491999999999997"/>
    <x v="0"/>
    <x v="7"/>
    <x v="1"/>
    <x v="4"/>
    <s v="MUHCHAS ID Equity"/>
    <x v="48"/>
    <x v="3"/>
    <x v="11"/>
    <x v="2"/>
    <x v="0"/>
  </r>
  <r>
    <s v="IE00B96BJC40"/>
    <x v="16"/>
    <n v="5.8894000000000002"/>
    <x v="0"/>
    <x v="15"/>
    <x v="1"/>
    <x v="5"/>
    <s v="MUHCHAS ID Equity"/>
    <x v="48"/>
    <x v="3"/>
    <x v="11"/>
    <x v="2"/>
    <x v="0"/>
  </r>
  <r>
    <s v="IE00BD08G390"/>
    <x v="13"/>
    <n v="3.0131000000000001"/>
    <x v="0"/>
    <x v="13"/>
    <x v="0"/>
    <x v="4"/>
    <s v="MLAQSEI ID Equity"/>
    <x v="49"/>
    <x v="1"/>
    <x v="12"/>
    <x v="0"/>
    <x v="0"/>
  </r>
  <r>
    <s v="IE00BD08G390"/>
    <x v="14"/>
    <n v="2.9876"/>
    <x v="0"/>
    <x v="14"/>
    <x v="0"/>
    <x v="4"/>
    <s v="MLAQSEI ID Equity"/>
    <x v="49"/>
    <x v="1"/>
    <x v="12"/>
    <x v="0"/>
    <x v="0"/>
  </r>
  <r>
    <s v="IE00BD08G390"/>
    <x v="9"/>
    <n v="2.9839000000000002"/>
    <x v="0"/>
    <x v="9"/>
    <x v="0"/>
    <x v="4"/>
    <s v="MLAQSEI ID Equity"/>
    <x v="49"/>
    <x v="1"/>
    <x v="12"/>
    <x v="0"/>
    <x v="0"/>
  </r>
  <r>
    <s v="IE00BD08G390"/>
    <x v="0"/>
    <n v="2.9891999999999999"/>
    <x v="0"/>
    <x v="0"/>
    <x v="0"/>
    <x v="0"/>
    <s v="MLAQSEI ID Equity"/>
    <x v="49"/>
    <x v="1"/>
    <x v="12"/>
    <x v="0"/>
    <x v="0"/>
  </r>
  <r>
    <s v="IE00BD08G390"/>
    <x v="18"/>
    <n v="3.0007999999999999"/>
    <x v="0"/>
    <x v="16"/>
    <x v="0"/>
    <x v="4"/>
    <s v="MLAQSEI ID Equity"/>
    <x v="49"/>
    <x v="1"/>
    <x v="12"/>
    <x v="0"/>
    <x v="0"/>
  </r>
  <r>
    <s v="IE00BD08G390"/>
    <x v="19"/>
    <n v="2.9584000000000001"/>
    <x v="0"/>
    <x v="17"/>
    <x v="0"/>
    <x v="0"/>
    <s v="MLAQSEI ID Equity"/>
    <x v="49"/>
    <x v="1"/>
    <x v="12"/>
    <x v="0"/>
    <x v="0"/>
  </r>
  <r>
    <s v="IE00BD08G515"/>
    <x v="15"/>
    <n v="2.9687999999999999"/>
    <x v="0"/>
    <x v="7"/>
    <x v="1"/>
    <x v="4"/>
    <s v="MLAQSCI ID Equity"/>
    <x v="50"/>
    <x v="1"/>
    <x v="12"/>
    <x v="2"/>
    <x v="0"/>
  </r>
  <r>
    <s v="IE00BD08G515"/>
    <x v="16"/>
    <n v="3.0051000000000001"/>
    <x v="0"/>
    <x v="15"/>
    <x v="1"/>
    <x v="5"/>
    <s v="MLAQSCI ID Equity"/>
    <x v="50"/>
    <x v="1"/>
    <x v="12"/>
    <x v="2"/>
    <x v="0"/>
  </r>
  <r>
    <s v="IE00BD08G622"/>
    <x v="11"/>
    <n v="2.9722"/>
    <x v="0"/>
    <x v="11"/>
    <x v="3"/>
    <x v="4"/>
    <s v="MLAQSUI ID Equity"/>
    <x v="51"/>
    <x v="1"/>
    <x v="12"/>
    <x v="3"/>
    <x v="0"/>
  </r>
  <r>
    <s v="IE00BD08G622"/>
    <x v="17"/>
    <n v="2.8595999999999999"/>
    <x v="0"/>
    <x v="5"/>
    <x v="3"/>
    <x v="6"/>
    <s v="MLAQSUI ID Equity"/>
    <x v="51"/>
    <x v="1"/>
    <x v="12"/>
    <x v="3"/>
    <x v="0"/>
  </r>
  <r>
    <s v="IE00BD85PG80"/>
    <x v="11"/>
    <n v="3.21"/>
    <x v="0"/>
    <x v="11"/>
    <x v="3"/>
    <x v="4"/>
    <s v="LIARBA5 ID Equity"/>
    <x v="52"/>
    <x v="3"/>
    <x v="13"/>
    <x v="0"/>
    <x v="0"/>
  </r>
  <r>
    <s v="IE00BD85PG80"/>
    <x v="12"/>
    <n v="0.49"/>
    <x v="1"/>
    <x v="12"/>
    <x v="0"/>
    <x v="4"/>
    <s v="LIARBA5 ID Equity"/>
    <x v="52"/>
    <x v="3"/>
    <x v="13"/>
    <x v="0"/>
    <x v="0"/>
  </r>
  <r>
    <s v="IE00BD85PG80"/>
    <x v="6"/>
    <n v="0.61"/>
    <x v="1"/>
    <x v="6"/>
    <x v="1"/>
    <x v="4"/>
    <s v="LIARBA5 ID Equity"/>
    <x v="52"/>
    <x v="3"/>
    <x v="13"/>
    <x v="0"/>
    <x v="0"/>
  </r>
  <r>
    <s v="IE00BD85PG80"/>
    <x v="13"/>
    <n v="2.8744999999999998"/>
    <x v="0"/>
    <x v="13"/>
    <x v="0"/>
    <x v="4"/>
    <s v="LIARBA5 ID Equity"/>
    <x v="52"/>
    <x v="3"/>
    <x v="13"/>
    <x v="0"/>
    <x v="0"/>
  </r>
  <r>
    <s v="IE00BD85PG80"/>
    <x v="14"/>
    <n v="3.9262000000000001"/>
    <x v="0"/>
    <x v="14"/>
    <x v="0"/>
    <x v="4"/>
    <s v="LIARBA5 ID Equity"/>
    <x v="52"/>
    <x v="3"/>
    <x v="13"/>
    <x v="0"/>
    <x v="0"/>
  </r>
  <r>
    <s v="IE00BD85PG80"/>
    <x v="9"/>
    <n v="3.1608999999999998"/>
    <x v="0"/>
    <x v="9"/>
    <x v="0"/>
    <x v="4"/>
    <s v="LIARBA5 ID Equity"/>
    <x v="52"/>
    <x v="3"/>
    <x v="13"/>
    <x v="0"/>
    <x v="0"/>
  </r>
  <r>
    <s v="IE00BD85PG80"/>
    <x v="0"/>
    <n v="2.9723999999999999"/>
    <x v="0"/>
    <x v="0"/>
    <x v="0"/>
    <x v="0"/>
    <s v="LIARBA5 ID Equity"/>
    <x v="52"/>
    <x v="3"/>
    <x v="13"/>
    <x v="0"/>
    <x v="0"/>
  </r>
  <r>
    <s v="IE00BD85PG80"/>
    <x v="15"/>
    <n v="2.8571"/>
    <x v="0"/>
    <x v="7"/>
    <x v="1"/>
    <x v="4"/>
    <s v="LIARBA5 ID Equity"/>
    <x v="52"/>
    <x v="3"/>
    <x v="13"/>
    <x v="0"/>
    <x v="0"/>
  </r>
  <r>
    <s v="IE00BD85PG80"/>
    <x v="16"/>
    <n v="3.0865999999999998"/>
    <x v="0"/>
    <x v="15"/>
    <x v="1"/>
    <x v="5"/>
    <s v="LIARBA5 ID Equity"/>
    <x v="52"/>
    <x v="3"/>
    <x v="13"/>
    <x v="0"/>
    <x v="0"/>
  </r>
  <r>
    <s v="IE00BD85PG80"/>
    <x v="18"/>
    <n v="3.1048"/>
    <x v="0"/>
    <x v="16"/>
    <x v="0"/>
    <x v="4"/>
    <s v="LIARBA5 ID Equity"/>
    <x v="52"/>
    <x v="3"/>
    <x v="13"/>
    <x v="0"/>
    <x v="0"/>
  </r>
  <r>
    <s v="IE00BFMNV207"/>
    <x v="1"/>
    <n v="10.137600000000001"/>
    <x v="0"/>
    <x v="1"/>
    <x v="0"/>
    <x v="1"/>
    <s v="BLWEERE ID Equity"/>
    <x v="53"/>
    <x v="0"/>
    <x v="8"/>
    <x v="0"/>
    <x v="0"/>
  </r>
  <r>
    <s v="IE00BYWRQH52"/>
    <x v="10"/>
    <n v="2.1322999999999999"/>
    <x v="0"/>
    <x v="10"/>
    <x v="2"/>
    <x v="2"/>
    <s v="LISBA5A ID Equity"/>
    <x v="54"/>
    <x v="3"/>
    <x v="13"/>
    <x v="0"/>
    <x v="0"/>
  </r>
  <r>
    <s v="IE00BZ6VNS04"/>
    <x v="12"/>
    <n v="0.63"/>
    <x v="1"/>
    <x v="12"/>
    <x v="0"/>
    <x v="4"/>
    <s v="TBWLSIE ID Equity"/>
    <x v="55"/>
    <x v="1"/>
    <x v="5"/>
    <x v="0"/>
    <x v="0"/>
  </r>
  <r>
    <s v="IE00BZ6VNS04"/>
    <x v="6"/>
    <n v="1.41"/>
    <x v="1"/>
    <x v="6"/>
    <x v="1"/>
    <x v="4"/>
    <s v="TBWLSIE ID Equity"/>
    <x v="55"/>
    <x v="1"/>
    <x v="5"/>
    <x v="0"/>
    <x v="0"/>
  </r>
  <r>
    <s v="IE00BZ6VNS04"/>
    <x v="13"/>
    <n v="4.0106999999999999"/>
    <x v="0"/>
    <x v="13"/>
    <x v="0"/>
    <x v="4"/>
    <s v="TBWLSIE ID Equity"/>
    <x v="55"/>
    <x v="1"/>
    <x v="5"/>
    <x v="0"/>
    <x v="0"/>
  </r>
  <r>
    <s v="IE00BZ6VNS04"/>
    <x v="14"/>
    <n v="4.2478999999999996"/>
    <x v="0"/>
    <x v="14"/>
    <x v="0"/>
    <x v="4"/>
    <s v="TBWLSIE ID Equity"/>
    <x v="55"/>
    <x v="1"/>
    <x v="5"/>
    <x v="0"/>
    <x v="0"/>
  </r>
  <r>
    <s v="IE00BZ6VNS04"/>
    <x v="9"/>
    <n v="4.6383999999999999"/>
    <x v="0"/>
    <x v="9"/>
    <x v="0"/>
    <x v="4"/>
    <s v="TBWLSIE ID Equity"/>
    <x v="55"/>
    <x v="1"/>
    <x v="5"/>
    <x v="0"/>
    <x v="0"/>
  </r>
  <r>
    <s v="IE00BZ6VNS04"/>
    <x v="0"/>
    <n v="2.5383"/>
    <x v="0"/>
    <x v="0"/>
    <x v="0"/>
    <x v="0"/>
    <s v="TBWLSIE ID Equity"/>
    <x v="55"/>
    <x v="1"/>
    <x v="5"/>
    <x v="0"/>
    <x v="0"/>
  </r>
  <r>
    <s v="IE00BZ6VNS04"/>
    <x v="15"/>
    <n v="4.4722"/>
    <x v="0"/>
    <x v="7"/>
    <x v="1"/>
    <x v="4"/>
    <s v="TBWLSIE ID Equity"/>
    <x v="55"/>
    <x v="1"/>
    <x v="5"/>
    <x v="0"/>
    <x v="0"/>
  </r>
  <r>
    <s v="IE00BZ6VNS04"/>
    <x v="16"/>
    <n v="3.6335999999999999"/>
    <x v="0"/>
    <x v="15"/>
    <x v="1"/>
    <x v="5"/>
    <s v="TBWLSIE ID Equity"/>
    <x v="55"/>
    <x v="1"/>
    <x v="5"/>
    <x v="0"/>
    <x v="0"/>
  </r>
  <r>
    <s v="IE00BZ6VNS04"/>
    <x v="24"/>
    <n v="4.9105999999999996"/>
    <x v="0"/>
    <x v="20"/>
    <x v="0"/>
    <x v="7"/>
    <s v="TBWLSIE ID Equity"/>
    <x v="55"/>
    <x v="1"/>
    <x v="5"/>
    <x v="0"/>
    <x v="0"/>
  </r>
  <r>
    <s v="IE00BZ6VNS04"/>
    <x v="18"/>
    <n v="3.3233999999999999"/>
    <x v="0"/>
    <x v="16"/>
    <x v="0"/>
    <x v="4"/>
    <s v="TBWLSIE ID Equity"/>
    <x v="55"/>
    <x v="1"/>
    <x v="5"/>
    <x v="0"/>
    <x v="0"/>
  </r>
  <r>
    <s v="JE00B1VS3770"/>
    <x v="10"/>
    <n v="2.0943999999999998"/>
    <x v="0"/>
    <x v="10"/>
    <x v="2"/>
    <x v="2"/>
    <s v="PHGP LN Equity"/>
    <x v="56"/>
    <x v="1"/>
    <x v="2"/>
    <x v="5"/>
    <x v="0"/>
  </r>
  <r>
    <s v="JE00B588CD74"/>
    <x v="10"/>
    <n v="4.3037999999999998"/>
    <x v="0"/>
    <x v="10"/>
    <x v="2"/>
    <x v="2"/>
    <s v="SGBS LN Equity"/>
    <x v="57"/>
    <x v="1"/>
    <x v="2"/>
    <x v="3"/>
    <x v="0"/>
  </r>
  <r>
    <s v="LU0646914142"/>
    <x v="4"/>
    <n v="0.55000000000000004"/>
    <x v="1"/>
    <x v="4"/>
    <x v="0"/>
    <x v="4"/>
    <s v="AREIIBA LX Equity"/>
    <x v="58"/>
    <x v="3"/>
    <x v="14"/>
    <x v="0"/>
    <x v="0"/>
  </r>
  <r>
    <s v="LU0646914142"/>
    <x v="12"/>
    <n v="0.55000000000000004"/>
    <x v="1"/>
    <x v="12"/>
    <x v="0"/>
    <x v="4"/>
    <s v="AREIIBA LX Equity"/>
    <x v="58"/>
    <x v="3"/>
    <x v="14"/>
    <x v="0"/>
    <x v="0"/>
  </r>
  <r>
    <s v="LU0646914142"/>
    <x v="13"/>
    <n v="5.3556999999999997"/>
    <x v="0"/>
    <x v="13"/>
    <x v="0"/>
    <x v="4"/>
    <s v="AREIIBA LX Equity"/>
    <x v="58"/>
    <x v="3"/>
    <x v="14"/>
    <x v="0"/>
    <x v="0"/>
  </r>
  <r>
    <s v="LU0646914142"/>
    <x v="14"/>
    <n v="5.9741"/>
    <x v="0"/>
    <x v="14"/>
    <x v="0"/>
    <x v="4"/>
    <s v="AREIIBA LX Equity"/>
    <x v="58"/>
    <x v="3"/>
    <x v="14"/>
    <x v="0"/>
    <x v="0"/>
  </r>
  <r>
    <s v="LU0646914142"/>
    <x v="9"/>
    <n v="7.2179000000000002"/>
    <x v="0"/>
    <x v="9"/>
    <x v="0"/>
    <x v="4"/>
    <s v="AREIIBA LX Equity"/>
    <x v="58"/>
    <x v="3"/>
    <x v="14"/>
    <x v="0"/>
    <x v="0"/>
  </r>
  <r>
    <s v="LU0646914142"/>
    <x v="23"/>
    <n v="23.224499999999999"/>
    <x v="0"/>
    <x v="19"/>
    <x v="0"/>
    <x v="4"/>
    <s v="AREIIBA LX Equity"/>
    <x v="58"/>
    <x v="3"/>
    <x v="14"/>
    <x v="0"/>
    <x v="0"/>
  </r>
  <r>
    <s v="LU0646914142"/>
    <x v="0"/>
    <n v="2.7964000000000002"/>
    <x v="0"/>
    <x v="0"/>
    <x v="0"/>
    <x v="0"/>
    <s v="AREIIBA LX Equity"/>
    <x v="58"/>
    <x v="3"/>
    <x v="14"/>
    <x v="0"/>
    <x v="0"/>
  </r>
  <r>
    <s v="LU0646914142"/>
    <x v="15"/>
    <n v="6.4264000000000001"/>
    <x v="0"/>
    <x v="7"/>
    <x v="1"/>
    <x v="4"/>
    <s v="AREIIBA LX Equity"/>
    <x v="58"/>
    <x v="3"/>
    <x v="14"/>
    <x v="0"/>
    <x v="0"/>
  </r>
  <r>
    <s v="LU0646914142"/>
    <x v="16"/>
    <n v="6.6715999999999998"/>
    <x v="0"/>
    <x v="15"/>
    <x v="1"/>
    <x v="5"/>
    <s v="AREIIBA LX Equity"/>
    <x v="58"/>
    <x v="3"/>
    <x v="14"/>
    <x v="0"/>
    <x v="0"/>
  </r>
  <r>
    <s v="LU0646914142"/>
    <x v="18"/>
    <n v="6.0567000000000002"/>
    <x v="0"/>
    <x v="16"/>
    <x v="0"/>
    <x v="4"/>
    <s v="AREIIBA LX Equity"/>
    <x v="58"/>
    <x v="3"/>
    <x v="14"/>
    <x v="0"/>
    <x v="0"/>
  </r>
  <r>
    <s v="LU1143051891"/>
    <x v="6"/>
    <n v="2.11"/>
    <x v="1"/>
    <x v="6"/>
    <x v="1"/>
    <x v="4"/>
    <s v="ARHACHF LX Equity"/>
    <x v="59"/>
    <x v="3"/>
    <x v="14"/>
    <x v="2"/>
    <x v="0"/>
  </r>
  <r>
    <s v="LU1628003706"/>
    <x v="13"/>
    <n v="3.7113999999999998"/>
    <x v="0"/>
    <x v="13"/>
    <x v="0"/>
    <x v="4"/>
    <s v="TFCFI1E LX Equity"/>
    <x v="60"/>
    <x v="1"/>
    <x v="12"/>
    <x v="0"/>
    <x v="0"/>
  </r>
  <r>
    <s v="LU1628003706"/>
    <x v="14"/>
    <n v="5.0599999999999996"/>
    <x v="0"/>
    <x v="14"/>
    <x v="0"/>
    <x v="4"/>
    <s v="TFCFI1E LX Equity"/>
    <x v="60"/>
    <x v="1"/>
    <x v="12"/>
    <x v="0"/>
    <x v="0"/>
  </r>
  <r>
    <s v="LU1628003706"/>
    <x v="9"/>
    <n v="4.1163999999999996"/>
    <x v="0"/>
    <x v="9"/>
    <x v="0"/>
    <x v="4"/>
    <s v="TFCFI1E LX Equity"/>
    <x v="60"/>
    <x v="1"/>
    <x v="12"/>
    <x v="0"/>
    <x v="0"/>
  </r>
  <r>
    <s v="LU1628003706"/>
    <x v="0"/>
    <n v="3.9725999999999999"/>
    <x v="0"/>
    <x v="0"/>
    <x v="0"/>
    <x v="0"/>
    <s v="TFCFI1E LX Equity"/>
    <x v="60"/>
    <x v="1"/>
    <x v="12"/>
    <x v="0"/>
    <x v="0"/>
  </r>
  <r>
    <s v="LU1628003706"/>
    <x v="15"/>
    <n v="3.7111999999999998"/>
    <x v="0"/>
    <x v="7"/>
    <x v="1"/>
    <x v="4"/>
    <s v="TFCFI1E LX Equity"/>
    <x v="60"/>
    <x v="1"/>
    <x v="12"/>
    <x v="0"/>
    <x v="0"/>
  </r>
  <r>
    <s v="LU1628003706"/>
    <x v="16"/>
    <n v="4.0068999999999999"/>
    <x v="0"/>
    <x v="15"/>
    <x v="1"/>
    <x v="5"/>
    <s v="TFCFI1E LX Equity"/>
    <x v="60"/>
    <x v="1"/>
    <x v="12"/>
    <x v="0"/>
    <x v="0"/>
  </r>
  <r>
    <s v="LU1628003706"/>
    <x v="18"/>
    <n v="3.9357000000000002"/>
    <x v="0"/>
    <x v="16"/>
    <x v="0"/>
    <x v="4"/>
    <s v="TFCFI1E LX Equity"/>
    <x v="60"/>
    <x v="1"/>
    <x v="12"/>
    <x v="0"/>
    <x v="0"/>
  </r>
  <r>
    <s v="LU1628003706"/>
    <x v="10"/>
    <n v="5.6143000000000001"/>
    <x v="0"/>
    <x v="10"/>
    <x v="2"/>
    <x v="2"/>
    <s v="TFCFI1E LX Equity"/>
    <x v="60"/>
    <x v="1"/>
    <x v="12"/>
    <x v="0"/>
    <x v="0"/>
  </r>
  <r>
    <s v="LU1628004001"/>
    <x v="11"/>
    <n v="4.5164999999999997"/>
    <x v="0"/>
    <x v="11"/>
    <x v="3"/>
    <x v="4"/>
    <s v="TFCFI1U LX Equity"/>
    <x v="61"/>
    <x v="1"/>
    <x v="12"/>
    <x v="3"/>
    <x v="0"/>
  </r>
  <r>
    <s v="LU1628004183"/>
    <x v="4"/>
    <n v="0.48"/>
    <x v="1"/>
    <x v="4"/>
    <x v="0"/>
    <x v="4"/>
    <s v="TFCFR1E LX Equity"/>
    <x v="62"/>
    <x v="1"/>
    <x v="12"/>
    <x v="0"/>
    <x v="0"/>
  </r>
  <r>
    <s v="LU1628004183"/>
    <x v="3"/>
    <n v="0.69"/>
    <x v="1"/>
    <x v="3"/>
    <x v="0"/>
    <x v="3"/>
    <s v="TFCFR1E LX Equity"/>
    <x v="62"/>
    <x v="1"/>
    <x v="12"/>
    <x v="0"/>
    <x v="0"/>
  </r>
  <r>
    <s v="LU1628004183"/>
    <x v="12"/>
    <n v="0.61"/>
    <x v="1"/>
    <x v="12"/>
    <x v="0"/>
    <x v="4"/>
    <s v="TFCFR1E LX Equity"/>
    <x v="62"/>
    <x v="1"/>
    <x v="12"/>
    <x v="0"/>
    <x v="0"/>
  </r>
  <r>
    <s v="LU1628004183"/>
    <x v="6"/>
    <n v="1.82"/>
    <x v="1"/>
    <x v="6"/>
    <x v="1"/>
    <x v="4"/>
    <s v="TFCFR1E LX Equity"/>
    <x v="62"/>
    <x v="1"/>
    <x v="12"/>
    <x v="0"/>
    <x v="0"/>
  </r>
  <r>
    <s v="LU1693257310"/>
    <x v="4"/>
    <n v="0.66"/>
    <x v="1"/>
    <x v="4"/>
    <x v="0"/>
    <x v="4"/>
    <s v="ESLDILA LX Equity"/>
    <x v="63"/>
    <x v="1"/>
    <x v="15"/>
    <x v="0"/>
    <x v="0"/>
  </r>
  <r>
    <s v="LU1693257310"/>
    <x v="12"/>
    <n v="0.65"/>
    <x v="1"/>
    <x v="12"/>
    <x v="0"/>
    <x v="4"/>
    <s v="ESLDILA LX Equity"/>
    <x v="63"/>
    <x v="1"/>
    <x v="15"/>
    <x v="0"/>
    <x v="0"/>
  </r>
  <r>
    <s v="LU1693257310"/>
    <x v="6"/>
    <n v="1.83"/>
    <x v="1"/>
    <x v="6"/>
    <x v="1"/>
    <x v="4"/>
    <s v="ESLDILA LX Equity"/>
    <x v="63"/>
    <x v="1"/>
    <x v="15"/>
    <x v="0"/>
    <x v="0"/>
  </r>
  <r>
    <s v="LU1693257310"/>
    <x v="1"/>
    <n v="20.555299999999999"/>
    <x v="0"/>
    <x v="1"/>
    <x v="0"/>
    <x v="1"/>
    <s v="ESLDILA LX Equity"/>
    <x v="63"/>
    <x v="1"/>
    <x v="15"/>
    <x v="0"/>
    <x v="0"/>
  </r>
  <r>
    <s v="LU1693257310"/>
    <x v="13"/>
    <n v="5.3136999999999999"/>
    <x v="0"/>
    <x v="13"/>
    <x v="0"/>
    <x v="4"/>
    <s v="ESLDILA LX Equity"/>
    <x v="63"/>
    <x v="1"/>
    <x v="15"/>
    <x v="0"/>
    <x v="0"/>
  </r>
  <r>
    <s v="LU1693257310"/>
    <x v="9"/>
    <n v="3.1394000000000002"/>
    <x v="0"/>
    <x v="9"/>
    <x v="0"/>
    <x v="4"/>
    <s v="ESLDILA LX Equity"/>
    <x v="63"/>
    <x v="1"/>
    <x v="15"/>
    <x v="0"/>
    <x v="0"/>
  </r>
  <r>
    <s v="LU1693257310"/>
    <x v="5"/>
    <n v="3.2757000000000001"/>
    <x v="0"/>
    <x v="5"/>
    <x v="0"/>
    <x v="4"/>
    <s v="ESLDILA LX Equity"/>
    <x v="63"/>
    <x v="1"/>
    <x v="15"/>
    <x v="0"/>
    <x v="0"/>
  </r>
  <r>
    <s v="LU1693257310"/>
    <x v="18"/>
    <n v="4.4635999999999996"/>
    <x v="0"/>
    <x v="16"/>
    <x v="0"/>
    <x v="4"/>
    <s v="ESLDILA LX Equity"/>
    <x v="63"/>
    <x v="1"/>
    <x v="15"/>
    <x v="0"/>
    <x v="0"/>
  </r>
  <r>
    <s v="LU1693257310"/>
    <x v="10"/>
    <n v="10.6715"/>
    <x v="0"/>
    <x v="10"/>
    <x v="2"/>
    <x v="2"/>
    <s v="ESLDILA LX Equity"/>
    <x v="63"/>
    <x v="1"/>
    <x v="15"/>
    <x v="0"/>
    <x v="0"/>
  </r>
  <r>
    <s v="LU1901202280"/>
    <x v="11"/>
    <n v="23.208400000000001"/>
    <x v="0"/>
    <x v="11"/>
    <x v="3"/>
    <x v="4"/>
    <s v="DREQUIA LX Equity"/>
    <x v="64"/>
    <x v="0"/>
    <x v="16"/>
    <x v="0"/>
    <x v="0"/>
  </r>
  <r>
    <s v="LU1901202280"/>
    <x v="4"/>
    <n v="0.87"/>
    <x v="1"/>
    <x v="4"/>
    <x v="0"/>
    <x v="4"/>
    <s v="DREQUIA LX Equity"/>
    <x v="64"/>
    <x v="0"/>
    <x v="16"/>
    <x v="0"/>
    <x v="0"/>
  </r>
  <r>
    <s v="LU1901202280"/>
    <x v="3"/>
    <n v="2.79"/>
    <x v="1"/>
    <x v="3"/>
    <x v="0"/>
    <x v="3"/>
    <s v="DREQUIA LX Equity"/>
    <x v="64"/>
    <x v="0"/>
    <x v="16"/>
    <x v="0"/>
    <x v="0"/>
  </r>
  <r>
    <s v="LU1901202280"/>
    <x v="12"/>
    <n v="2.79"/>
    <x v="1"/>
    <x v="12"/>
    <x v="0"/>
    <x v="4"/>
    <s v="DREQUIA LX Equity"/>
    <x v="64"/>
    <x v="0"/>
    <x v="16"/>
    <x v="0"/>
    <x v="0"/>
  </r>
  <r>
    <s v="LU1901202280"/>
    <x v="6"/>
    <n v="5.81"/>
    <x v="1"/>
    <x v="6"/>
    <x v="1"/>
    <x v="4"/>
    <s v="DREQUIA LX Equity"/>
    <x v="64"/>
    <x v="0"/>
    <x v="16"/>
    <x v="0"/>
    <x v="0"/>
  </r>
  <r>
    <s v="LU1901202280"/>
    <x v="22"/>
    <n v="20.187999999999999"/>
    <x v="0"/>
    <x v="18"/>
    <x v="1"/>
    <x v="4"/>
    <s v="DREQUIA LX Equity"/>
    <x v="64"/>
    <x v="0"/>
    <x v="16"/>
    <x v="0"/>
    <x v="0"/>
  </r>
  <r>
    <s v="LU1901202280"/>
    <x v="1"/>
    <n v="14.6136"/>
    <x v="0"/>
    <x v="1"/>
    <x v="0"/>
    <x v="1"/>
    <s v="DREQUIA LX Equity"/>
    <x v="64"/>
    <x v="0"/>
    <x v="16"/>
    <x v="0"/>
    <x v="0"/>
  </r>
  <r>
    <s v="LU1901202280"/>
    <x v="13"/>
    <n v="21.185600000000001"/>
    <x v="0"/>
    <x v="13"/>
    <x v="0"/>
    <x v="4"/>
    <s v="DREQUIA LX Equity"/>
    <x v="64"/>
    <x v="0"/>
    <x v="16"/>
    <x v="0"/>
    <x v="0"/>
  </r>
  <r>
    <s v="LU1901202280"/>
    <x v="14"/>
    <n v="21.755400000000002"/>
    <x v="0"/>
    <x v="14"/>
    <x v="0"/>
    <x v="4"/>
    <s v="DREQUIA LX Equity"/>
    <x v="64"/>
    <x v="0"/>
    <x v="16"/>
    <x v="0"/>
    <x v="0"/>
  </r>
  <r>
    <s v="LU1901202280"/>
    <x v="9"/>
    <n v="15.040800000000001"/>
    <x v="0"/>
    <x v="9"/>
    <x v="0"/>
    <x v="4"/>
    <s v="DREQUIA LX Equity"/>
    <x v="64"/>
    <x v="0"/>
    <x v="16"/>
    <x v="0"/>
    <x v="0"/>
  </r>
  <r>
    <s v="LU1901202280"/>
    <x v="0"/>
    <n v="20.930499999999999"/>
    <x v="0"/>
    <x v="0"/>
    <x v="0"/>
    <x v="0"/>
    <s v="DREQUIA LX Equity"/>
    <x v="64"/>
    <x v="0"/>
    <x v="16"/>
    <x v="0"/>
    <x v="0"/>
  </r>
  <r>
    <s v="LU1901202280"/>
    <x v="15"/>
    <n v="21.081499999999998"/>
    <x v="0"/>
    <x v="7"/>
    <x v="1"/>
    <x v="4"/>
    <s v="DREQUIA LX Equity"/>
    <x v="64"/>
    <x v="0"/>
    <x v="16"/>
    <x v="0"/>
    <x v="0"/>
  </r>
  <r>
    <s v="LU1901202280"/>
    <x v="7"/>
    <n v="25.466699999999999"/>
    <x v="0"/>
    <x v="7"/>
    <x v="0"/>
    <x v="4"/>
    <s v="DREQUIA LX Equity"/>
    <x v="64"/>
    <x v="0"/>
    <x v="16"/>
    <x v="0"/>
    <x v="0"/>
  </r>
  <r>
    <s v="LU1901202280"/>
    <x v="25"/>
    <n v="25.383700000000001"/>
    <x v="0"/>
    <x v="7"/>
    <x v="0"/>
    <x v="4"/>
    <s v="DREQUIA LX Equity"/>
    <x v="64"/>
    <x v="0"/>
    <x v="16"/>
    <x v="0"/>
    <x v="0"/>
  </r>
  <r>
    <s v="LU1901202280"/>
    <x v="16"/>
    <n v="17.438500000000001"/>
    <x v="0"/>
    <x v="15"/>
    <x v="1"/>
    <x v="5"/>
    <s v="DREQUIA LX Equity"/>
    <x v="64"/>
    <x v="0"/>
    <x v="16"/>
    <x v="0"/>
    <x v="0"/>
  </r>
  <r>
    <s v="LU1901202280"/>
    <x v="21"/>
    <n v="5.2613000000000003"/>
    <x v="0"/>
    <x v="8"/>
    <x v="0"/>
    <x v="4"/>
    <s v="DREQUIA LX Equity"/>
    <x v="64"/>
    <x v="0"/>
    <x v="16"/>
    <x v="0"/>
    <x v="0"/>
  </r>
  <r>
    <s v="LU1901202280"/>
    <x v="8"/>
    <n v="22.445"/>
    <x v="0"/>
    <x v="8"/>
    <x v="0"/>
    <x v="4"/>
    <s v="DREQUIA LX Equity"/>
    <x v="64"/>
    <x v="0"/>
    <x v="16"/>
    <x v="0"/>
    <x v="0"/>
  </r>
  <r>
    <s v="LU1901202280"/>
    <x v="17"/>
    <n v="16.757999999999999"/>
    <x v="0"/>
    <x v="5"/>
    <x v="3"/>
    <x v="6"/>
    <s v="DREQUIA LX Equity"/>
    <x v="64"/>
    <x v="0"/>
    <x v="16"/>
    <x v="0"/>
    <x v="0"/>
  </r>
  <r>
    <s v="LU1901202280"/>
    <x v="24"/>
    <n v="20.3934"/>
    <x v="0"/>
    <x v="20"/>
    <x v="0"/>
    <x v="7"/>
    <s v="DREQUIA LX Equity"/>
    <x v="64"/>
    <x v="0"/>
    <x v="16"/>
    <x v="0"/>
    <x v="0"/>
  </r>
  <r>
    <s v="LU1901202280"/>
    <x v="18"/>
    <n v="20.948699999999999"/>
    <x v="0"/>
    <x v="16"/>
    <x v="0"/>
    <x v="4"/>
    <s v="DREQUIA LX Equity"/>
    <x v="64"/>
    <x v="0"/>
    <x v="16"/>
    <x v="0"/>
    <x v="0"/>
  </r>
  <r>
    <s v="LU1901202280"/>
    <x v="19"/>
    <n v="16.231000000000002"/>
    <x v="0"/>
    <x v="17"/>
    <x v="0"/>
    <x v="0"/>
    <s v="DREQUIA LX Equity"/>
    <x v="64"/>
    <x v="0"/>
    <x v="16"/>
    <x v="0"/>
    <x v="0"/>
  </r>
  <r>
    <s v="LU1901202280"/>
    <x v="10"/>
    <n v="10.953900000000001"/>
    <x v="0"/>
    <x v="10"/>
    <x v="2"/>
    <x v="2"/>
    <s v="DREQUIA LX Equity"/>
    <x v="64"/>
    <x v="0"/>
    <x v="16"/>
    <x v="0"/>
    <x v="0"/>
  </r>
  <r>
    <s v="LU1901202363"/>
    <x v="11"/>
    <n v="24.6035"/>
    <x v="0"/>
    <x v="11"/>
    <x v="3"/>
    <x v="4"/>
    <s v="DRGLCRA LX Equity"/>
    <x v="65"/>
    <x v="3"/>
    <x v="17"/>
    <x v="0"/>
    <x v="0"/>
  </r>
  <r>
    <s v="LU1901202363"/>
    <x v="4"/>
    <n v="1.28"/>
    <x v="1"/>
    <x v="4"/>
    <x v="0"/>
    <x v="4"/>
    <s v="DRGLCRA LX Equity"/>
    <x v="65"/>
    <x v="3"/>
    <x v="17"/>
    <x v="0"/>
    <x v="0"/>
  </r>
  <r>
    <s v="LU1901202363"/>
    <x v="12"/>
    <n v="4.09"/>
    <x v="1"/>
    <x v="12"/>
    <x v="0"/>
    <x v="4"/>
    <s v="DRGLCRA LX Equity"/>
    <x v="65"/>
    <x v="3"/>
    <x v="17"/>
    <x v="0"/>
    <x v="0"/>
  </r>
  <r>
    <s v="LU1901202363"/>
    <x v="6"/>
    <n v="8.7899999999999991"/>
    <x v="1"/>
    <x v="6"/>
    <x v="1"/>
    <x v="4"/>
    <s v="DRGLCRA LX Equity"/>
    <x v="65"/>
    <x v="3"/>
    <x v="17"/>
    <x v="0"/>
    <x v="0"/>
  </r>
  <r>
    <s v="LU1901202363"/>
    <x v="22"/>
    <n v="23.513300000000001"/>
    <x v="0"/>
    <x v="18"/>
    <x v="1"/>
    <x v="4"/>
    <s v="DRGLCRA LX Equity"/>
    <x v="65"/>
    <x v="3"/>
    <x v="17"/>
    <x v="0"/>
    <x v="0"/>
  </r>
  <r>
    <s v="LU1901202363"/>
    <x v="1"/>
    <n v="19.9709"/>
    <x v="0"/>
    <x v="1"/>
    <x v="0"/>
    <x v="1"/>
    <s v="DRGLCRA LX Equity"/>
    <x v="65"/>
    <x v="3"/>
    <x v="17"/>
    <x v="0"/>
    <x v="0"/>
  </r>
  <r>
    <s v="LU1901202363"/>
    <x v="26"/>
    <n v="34.817999999999998"/>
    <x v="0"/>
    <x v="21"/>
    <x v="1"/>
    <x v="5"/>
    <s v="DRGLCRA LX Equity"/>
    <x v="65"/>
    <x v="3"/>
    <x v="17"/>
    <x v="0"/>
    <x v="0"/>
  </r>
  <r>
    <s v="LU1901202363"/>
    <x v="13"/>
    <n v="19.3705"/>
    <x v="0"/>
    <x v="13"/>
    <x v="0"/>
    <x v="4"/>
    <s v="DRGLCRA LX Equity"/>
    <x v="65"/>
    <x v="3"/>
    <x v="17"/>
    <x v="0"/>
    <x v="0"/>
  </r>
  <r>
    <s v="LU1901202363"/>
    <x v="14"/>
    <n v="27.582000000000001"/>
    <x v="0"/>
    <x v="14"/>
    <x v="0"/>
    <x v="4"/>
    <s v="DRGLCRA LX Equity"/>
    <x v="65"/>
    <x v="3"/>
    <x v="17"/>
    <x v="0"/>
    <x v="0"/>
  </r>
  <r>
    <s v="LU1901202363"/>
    <x v="9"/>
    <n v="15.8284"/>
    <x v="0"/>
    <x v="9"/>
    <x v="0"/>
    <x v="4"/>
    <s v="DRGLCRA LX Equity"/>
    <x v="65"/>
    <x v="3"/>
    <x v="17"/>
    <x v="0"/>
    <x v="0"/>
  </r>
  <r>
    <s v="LU1901202363"/>
    <x v="23"/>
    <n v="22.2607"/>
    <x v="0"/>
    <x v="19"/>
    <x v="0"/>
    <x v="4"/>
    <s v="DRGLCRA LX Equity"/>
    <x v="65"/>
    <x v="3"/>
    <x v="17"/>
    <x v="0"/>
    <x v="0"/>
  </r>
  <r>
    <s v="LU1901202363"/>
    <x v="0"/>
    <n v="13.9039"/>
    <x v="0"/>
    <x v="0"/>
    <x v="0"/>
    <x v="0"/>
    <s v="DRGLCRA LX Equity"/>
    <x v="65"/>
    <x v="3"/>
    <x v="17"/>
    <x v="0"/>
    <x v="0"/>
  </r>
  <r>
    <s v="LU1901202363"/>
    <x v="15"/>
    <n v="18.0062"/>
    <x v="0"/>
    <x v="7"/>
    <x v="1"/>
    <x v="4"/>
    <s v="DRGLCRA LX Equity"/>
    <x v="65"/>
    <x v="3"/>
    <x v="17"/>
    <x v="0"/>
    <x v="0"/>
  </r>
  <r>
    <s v="LU1901202363"/>
    <x v="7"/>
    <n v="29.002300000000002"/>
    <x v="0"/>
    <x v="7"/>
    <x v="0"/>
    <x v="4"/>
    <s v="DRGLCRA LX Equity"/>
    <x v="65"/>
    <x v="3"/>
    <x v="17"/>
    <x v="0"/>
    <x v="0"/>
  </r>
  <r>
    <s v="LU1901202363"/>
    <x v="25"/>
    <n v="28.750699999999998"/>
    <x v="0"/>
    <x v="7"/>
    <x v="0"/>
    <x v="4"/>
    <s v="DRGLCRA LX Equity"/>
    <x v="65"/>
    <x v="3"/>
    <x v="17"/>
    <x v="0"/>
    <x v="0"/>
  </r>
  <r>
    <s v="LU1901202363"/>
    <x v="16"/>
    <n v="25.9895"/>
    <x v="0"/>
    <x v="15"/>
    <x v="1"/>
    <x v="5"/>
    <s v="DRGLCRA LX Equity"/>
    <x v="65"/>
    <x v="3"/>
    <x v="17"/>
    <x v="0"/>
    <x v="0"/>
  </r>
  <r>
    <s v="LU1901202363"/>
    <x v="20"/>
    <n v="13.757"/>
    <x v="0"/>
    <x v="8"/>
    <x v="0"/>
    <x v="4"/>
    <s v="DRGLCRA LX Equity"/>
    <x v="65"/>
    <x v="3"/>
    <x v="17"/>
    <x v="0"/>
    <x v="0"/>
  </r>
  <r>
    <s v="LU1901202363"/>
    <x v="21"/>
    <n v="37.390799999999999"/>
    <x v="0"/>
    <x v="8"/>
    <x v="0"/>
    <x v="4"/>
    <s v="DRGLCRA LX Equity"/>
    <x v="65"/>
    <x v="3"/>
    <x v="17"/>
    <x v="0"/>
    <x v="0"/>
  </r>
  <r>
    <s v="LU1901202363"/>
    <x v="8"/>
    <n v="42.311599999999999"/>
    <x v="0"/>
    <x v="8"/>
    <x v="0"/>
    <x v="4"/>
    <s v="DRGLCRA LX Equity"/>
    <x v="65"/>
    <x v="3"/>
    <x v="17"/>
    <x v="0"/>
    <x v="0"/>
  </r>
  <r>
    <s v="LU1901202363"/>
    <x v="17"/>
    <n v="5.1414"/>
    <x v="0"/>
    <x v="5"/>
    <x v="3"/>
    <x v="6"/>
    <s v="DRGLCRA LX Equity"/>
    <x v="65"/>
    <x v="3"/>
    <x v="17"/>
    <x v="0"/>
    <x v="0"/>
  </r>
  <r>
    <s v="LU1901202363"/>
    <x v="24"/>
    <n v="34.837000000000003"/>
    <x v="0"/>
    <x v="20"/>
    <x v="0"/>
    <x v="7"/>
    <s v="DRGLCRA LX Equity"/>
    <x v="65"/>
    <x v="3"/>
    <x v="17"/>
    <x v="0"/>
    <x v="0"/>
  </r>
  <r>
    <s v="LU1901202363"/>
    <x v="18"/>
    <n v="22.264800000000001"/>
    <x v="0"/>
    <x v="16"/>
    <x v="0"/>
    <x v="4"/>
    <s v="DRGLCRA LX Equity"/>
    <x v="65"/>
    <x v="3"/>
    <x v="17"/>
    <x v="0"/>
    <x v="0"/>
  </r>
  <r>
    <s v="LU1901202363"/>
    <x v="19"/>
    <n v="4.9798"/>
    <x v="0"/>
    <x v="17"/>
    <x v="0"/>
    <x v="0"/>
    <s v="DRGLCRA LX Equity"/>
    <x v="65"/>
    <x v="3"/>
    <x v="17"/>
    <x v="0"/>
    <x v="0"/>
  </r>
  <r>
    <s v="LU1901202363"/>
    <x v="10"/>
    <n v="18.164999999999999"/>
    <x v="0"/>
    <x v="10"/>
    <x v="2"/>
    <x v="2"/>
    <s v="DRGLCRA LX Equity"/>
    <x v="65"/>
    <x v="3"/>
    <x v="17"/>
    <x v="0"/>
    <x v="0"/>
  </r>
  <r>
    <s v="NL0000226223"/>
    <x v="0"/>
    <n v="0.77310000000000001"/>
    <x v="0"/>
    <x v="0"/>
    <x v="0"/>
    <x v="0"/>
    <s v="STM FP Equity"/>
    <x v="66"/>
    <x v="0"/>
    <x v="0"/>
    <x v="0"/>
    <x v="0"/>
  </r>
  <r>
    <s v="NL0011585146"/>
    <x v="0"/>
    <n v="0.62280000000000002"/>
    <x v="0"/>
    <x v="0"/>
    <x v="0"/>
    <x v="0"/>
    <s v="RACE US Equity"/>
    <x v="67"/>
    <x v="0"/>
    <x v="0"/>
    <x v="0"/>
    <x v="0"/>
  </r>
  <r>
    <s v="US0231351067"/>
    <x v="0"/>
    <n v="0.53720000000000001"/>
    <x v="0"/>
    <x v="0"/>
    <x v="0"/>
    <x v="0"/>
    <s v="AMZN US Equity"/>
    <x v="68"/>
    <x v="0"/>
    <x v="0"/>
    <x v="3"/>
    <x v="0"/>
  </r>
  <r>
    <s v="US0378331005"/>
    <x v="0"/>
    <n v="0.98080000000000001"/>
    <x v="0"/>
    <x v="0"/>
    <x v="0"/>
    <x v="0"/>
    <s v="AAPL US Equity"/>
    <x v="69"/>
    <x v="0"/>
    <x v="0"/>
    <x v="3"/>
    <x v="0"/>
  </r>
  <r>
    <s v="US16411R2085"/>
    <x v="0"/>
    <n v="0.59730000000000005"/>
    <x v="0"/>
    <x v="0"/>
    <x v="0"/>
    <x v="0"/>
    <s v="LNG US Equity"/>
    <x v="70"/>
    <x v="0"/>
    <x v="0"/>
    <x v="3"/>
    <x v="0"/>
  </r>
  <r>
    <s v="US17275R1023"/>
    <x v="1"/>
    <n v="1.0325"/>
    <x v="0"/>
    <x v="1"/>
    <x v="0"/>
    <x v="1"/>
    <s v="CSCO US Equity"/>
    <x v="71"/>
    <x v="0"/>
    <x v="0"/>
    <x v="3"/>
    <x v="0"/>
  </r>
  <r>
    <s v="US191241AD01"/>
    <x v="9"/>
    <n v="1.0912999999999999"/>
    <x v="0"/>
    <x v="9"/>
    <x v="0"/>
    <x v="4"/>
    <s v="US191241AD01 Corp"/>
    <x v="72"/>
    <x v="3"/>
    <x v="18"/>
    <x v="3"/>
    <x v="7"/>
  </r>
  <r>
    <s v="US278642AK93"/>
    <x v="9"/>
    <n v="1.6449"/>
    <x v="0"/>
    <x v="9"/>
    <x v="0"/>
    <x v="4"/>
    <s v="US278642AK93 Corp"/>
    <x v="73"/>
    <x v="3"/>
    <x v="18"/>
    <x v="3"/>
    <x v="7"/>
  </r>
  <r>
    <s v="US4282911084"/>
    <x v="0"/>
    <n v="0.35070000000000001"/>
    <x v="0"/>
    <x v="0"/>
    <x v="0"/>
    <x v="0"/>
    <s v="HXL US Equity"/>
    <x v="74"/>
    <x v="0"/>
    <x v="0"/>
    <x v="3"/>
    <x v="0"/>
  </r>
  <r>
    <s v="US4642872000"/>
    <x v="23"/>
    <n v="2.2774000000000001"/>
    <x v="0"/>
    <x v="19"/>
    <x v="0"/>
    <x v="4"/>
    <s v="IVV US Equity"/>
    <x v="75"/>
    <x v="0"/>
    <x v="19"/>
    <x v="3"/>
    <x v="0"/>
  </r>
  <r>
    <s v="US55087P1049"/>
    <x v="0"/>
    <n v="0.2079"/>
    <x v="0"/>
    <x v="0"/>
    <x v="0"/>
    <x v="0"/>
    <s v="LYFT US Equity"/>
    <x v="76"/>
    <x v="0"/>
    <x v="0"/>
    <x v="3"/>
    <x v="0"/>
  </r>
  <r>
    <s v="US78462F1030"/>
    <x v="10"/>
    <n v="2.2629999999999999"/>
    <x v="0"/>
    <x v="10"/>
    <x v="2"/>
    <x v="2"/>
    <s v="SPY US Equity"/>
    <x v="77"/>
    <x v="0"/>
    <x v="19"/>
    <x v="3"/>
    <x v="0"/>
  </r>
  <r>
    <s v="US78463V1070"/>
    <x v="24"/>
    <n v="5.6132"/>
    <x v="0"/>
    <x v="20"/>
    <x v="0"/>
    <x v="7"/>
    <s v="GLD US Equity"/>
    <x v="78"/>
    <x v="1"/>
    <x v="2"/>
    <x v="3"/>
    <x v="0"/>
  </r>
  <r>
    <s v="US78464A7634"/>
    <x v="10"/>
    <n v="4.5602"/>
    <x v="0"/>
    <x v="10"/>
    <x v="2"/>
    <x v="2"/>
    <s v="SDY US Equity"/>
    <x v="79"/>
    <x v="0"/>
    <x v="19"/>
    <x v="3"/>
    <x v="0"/>
  </r>
  <r>
    <s v="US87968A1043"/>
    <x v="0"/>
    <n v="0.6865"/>
    <x v="0"/>
    <x v="0"/>
    <x v="0"/>
    <x v="0"/>
    <s v="TELL US Equity"/>
    <x v="80"/>
    <x v="0"/>
    <x v="0"/>
    <x v="3"/>
    <x v="0"/>
  </r>
  <r>
    <s v="US88160R1014"/>
    <x v="0"/>
    <n v="0.88100000000000001"/>
    <x v="0"/>
    <x v="0"/>
    <x v="0"/>
    <x v="0"/>
    <s v="TSLA US Equity"/>
    <x v="81"/>
    <x v="0"/>
    <x v="0"/>
    <x v="3"/>
    <x v="0"/>
  </r>
  <r>
    <s v="US89114QC716"/>
    <x v="9"/>
    <n v="2.1772"/>
    <x v="0"/>
    <x v="9"/>
    <x v="0"/>
    <x v="4"/>
    <s v="US89114QC716 Corp"/>
    <x v="82"/>
    <x v="3"/>
    <x v="18"/>
    <x v="3"/>
    <x v="7"/>
  </r>
  <r>
    <s v="USY68868AA92"/>
    <x v="9"/>
    <n v="2.1564000000000001"/>
    <x v="0"/>
    <x v="9"/>
    <x v="0"/>
    <x v="4"/>
    <s v="USY68868AA92 Corp"/>
    <x v="83"/>
    <x v="3"/>
    <x v="18"/>
    <x v="3"/>
    <x v="7"/>
  </r>
  <r>
    <s v="VGG5532C1106"/>
    <x v="11"/>
    <n v="7.1999999999999998E-3"/>
    <x v="0"/>
    <x v="11"/>
    <x v="3"/>
    <x v="4"/>
    <s v="LL1"/>
    <x v="84"/>
    <x v="1"/>
    <x v="1"/>
    <x v="0"/>
    <x v="0"/>
  </r>
  <r>
    <s v="VGG5532C1106"/>
    <x v="13"/>
    <n v="1.1000000000000001E-3"/>
    <x v="0"/>
    <x v="13"/>
    <x v="0"/>
    <x v="4"/>
    <s v="LL1"/>
    <x v="84"/>
    <x v="1"/>
    <x v="1"/>
    <x v="0"/>
    <x v="0"/>
  </r>
  <r>
    <s v="VGG5532C1106"/>
    <x v="14"/>
    <n v="7.6E-3"/>
    <x v="0"/>
    <x v="14"/>
    <x v="0"/>
    <x v="4"/>
    <s v="LL1"/>
    <x v="84"/>
    <x v="1"/>
    <x v="1"/>
    <x v="0"/>
    <x v="0"/>
  </r>
  <r>
    <s v="VGG5532C1106"/>
    <x v="27"/>
    <n v="1.6492"/>
    <x v="0"/>
    <x v="22"/>
    <x v="1"/>
    <x v="8"/>
    <s v="LL1"/>
    <x v="84"/>
    <x v="1"/>
    <x v="1"/>
    <x v="0"/>
    <x v="0"/>
  </r>
  <r>
    <s v="VGG5532C1106"/>
    <x v="0"/>
    <n v="2.9999999999999997E-4"/>
    <x v="0"/>
    <x v="0"/>
    <x v="0"/>
    <x v="0"/>
    <s v="LL1"/>
    <x v="84"/>
    <x v="1"/>
    <x v="1"/>
    <x v="0"/>
    <x v="0"/>
  </r>
  <r>
    <s v="VGG5532C1106"/>
    <x v="7"/>
    <n v="8.5000000000000006E-3"/>
    <x v="0"/>
    <x v="7"/>
    <x v="0"/>
    <x v="4"/>
    <s v="LL1"/>
    <x v="84"/>
    <x v="1"/>
    <x v="1"/>
    <x v="0"/>
    <x v="0"/>
  </r>
  <r>
    <s v="VGG5532C1106"/>
    <x v="25"/>
    <n v="7.7000000000000002E-3"/>
    <x v="0"/>
    <x v="7"/>
    <x v="0"/>
    <x v="4"/>
    <s v="LL1"/>
    <x v="84"/>
    <x v="1"/>
    <x v="1"/>
    <x v="0"/>
    <x v="0"/>
  </r>
  <r>
    <s v="VGG5532C1106"/>
    <x v="20"/>
    <n v="5.8999999999999999E-3"/>
    <x v="0"/>
    <x v="8"/>
    <x v="0"/>
    <x v="4"/>
    <s v="LL1"/>
    <x v="84"/>
    <x v="1"/>
    <x v="1"/>
    <x v="0"/>
    <x v="0"/>
  </r>
  <r>
    <s v="VGG5532C1106"/>
    <x v="8"/>
    <n v="6.7999999999999996E-3"/>
    <x v="0"/>
    <x v="8"/>
    <x v="0"/>
    <x v="4"/>
    <s v="LL1"/>
    <x v="84"/>
    <x v="1"/>
    <x v="1"/>
    <x v="0"/>
    <x v="0"/>
  </r>
  <r>
    <s v="VGG5532C1106"/>
    <x v="24"/>
    <n v="6.8999999999999999E-3"/>
    <x v="0"/>
    <x v="20"/>
    <x v="0"/>
    <x v="7"/>
    <s v="LL1"/>
    <x v="84"/>
    <x v="1"/>
    <x v="1"/>
    <x v="0"/>
    <x v="0"/>
  </r>
  <r>
    <s v="VGG5532C1106"/>
    <x v="18"/>
    <n v="1.1999999999999999E-3"/>
    <x v="0"/>
    <x v="16"/>
    <x v="0"/>
    <x v="4"/>
    <s v="LL1"/>
    <x v="84"/>
    <x v="1"/>
    <x v="1"/>
    <x v="0"/>
    <x v="0"/>
  </r>
  <r>
    <s v="VGG5532C1288"/>
    <x v="28"/>
    <n v="0.08"/>
    <x v="1"/>
    <x v="23"/>
    <x v="0"/>
    <x v="7"/>
    <s v="LL"/>
    <x v="85"/>
    <x v="1"/>
    <x v="1"/>
    <x v="0"/>
    <x v="0"/>
  </r>
  <r>
    <s v="VGG5532C1288"/>
    <x v="4"/>
    <n v="0.05"/>
    <x v="1"/>
    <x v="4"/>
    <x v="0"/>
    <x v="4"/>
    <s v="LL"/>
    <x v="85"/>
    <x v="1"/>
    <x v="1"/>
    <x v="0"/>
    <x v="0"/>
  </r>
  <r>
    <s v="VGG5532C1288"/>
    <x v="29"/>
    <n v="0.01"/>
    <x v="1"/>
    <x v="24"/>
    <x v="1"/>
    <x v="6"/>
    <s v="LL"/>
    <x v="85"/>
    <x v="1"/>
    <x v="1"/>
    <x v="0"/>
    <x v="0"/>
  </r>
  <r>
    <s v="VGG5532C1288"/>
    <x v="6"/>
    <n v="0.04"/>
    <x v="1"/>
    <x v="6"/>
    <x v="1"/>
    <x v="4"/>
    <s v="LL"/>
    <x v="85"/>
    <x v="1"/>
    <x v="1"/>
    <x v="0"/>
    <x v="0"/>
  </r>
  <r>
    <s v="VGG5532C1288"/>
    <x v="27"/>
    <n v="21.731400000000001"/>
    <x v="0"/>
    <x v="22"/>
    <x v="1"/>
    <x v="8"/>
    <s v="LL"/>
    <x v="85"/>
    <x v="1"/>
    <x v="1"/>
    <x v="0"/>
    <x v="0"/>
  </r>
  <r>
    <s v="VGG5532C1288"/>
    <x v="7"/>
    <n v="0.22389999999999999"/>
    <x v="0"/>
    <x v="7"/>
    <x v="0"/>
    <x v="4"/>
    <s v="LL"/>
    <x v="85"/>
    <x v="1"/>
    <x v="1"/>
    <x v="0"/>
    <x v="0"/>
  </r>
  <r>
    <s v="VGG5532C1288"/>
    <x v="25"/>
    <n v="0.20369999999999999"/>
    <x v="0"/>
    <x v="7"/>
    <x v="0"/>
    <x v="4"/>
    <s v="LL"/>
    <x v="85"/>
    <x v="1"/>
    <x v="1"/>
    <x v="0"/>
    <x v="0"/>
  </r>
  <r>
    <s v="VGG5532C1288"/>
    <x v="16"/>
    <n v="0.13339999999999999"/>
    <x v="0"/>
    <x v="15"/>
    <x v="1"/>
    <x v="5"/>
    <s v="LL"/>
    <x v="85"/>
    <x v="1"/>
    <x v="1"/>
    <x v="0"/>
    <x v="0"/>
  </r>
  <r>
    <s v="VGG5532C1288"/>
    <x v="20"/>
    <n v="0.25790000000000002"/>
    <x v="0"/>
    <x v="8"/>
    <x v="0"/>
    <x v="4"/>
    <s v="LL"/>
    <x v="85"/>
    <x v="1"/>
    <x v="1"/>
    <x v="0"/>
    <x v="0"/>
  </r>
  <r>
    <s v="VGG5532C1288"/>
    <x v="8"/>
    <n v="0.18010000000000001"/>
    <x v="0"/>
    <x v="8"/>
    <x v="0"/>
    <x v="4"/>
    <s v="LL"/>
    <x v="85"/>
    <x v="1"/>
    <x v="1"/>
    <x v="0"/>
    <x v="0"/>
  </r>
  <r>
    <s v="VGG5532C1361"/>
    <x v="11"/>
    <n v="9.3700000000000006E-2"/>
    <x v="0"/>
    <x v="11"/>
    <x v="3"/>
    <x v="4"/>
    <s v="LL"/>
    <x v="86"/>
    <x v="1"/>
    <x v="1"/>
    <x v="0"/>
    <x v="0"/>
  </r>
  <r>
    <s v="VGG5532C1361"/>
    <x v="4"/>
    <n v="0.04"/>
    <x v="1"/>
    <x v="4"/>
    <x v="0"/>
    <x v="4"/>
    <s v="LL"/>
    <x v="86"/>
    <x v="1"/>
    <x v="1"/>
    <x v="0"/>
    <x v="0"/>
  </r>
  <r>
    <s v="VGG5532C1361"/>
    <x v="29"/>
    <n v="0.03"/>
    <x v="1"/>
    <x v="24"/>
    <x v="1"/>
    <x v="6"/>
    <s v="LL"/>
    <x v="86"/>
    <x v="1"/>
    <x v="1"/>
    <x v="0"/>
    <x v="0"/>
  </r>
  <r>
    <s v="VGG5532C1361"/>
    <x v="14"/>
    <n v="0.39900000000000002"/>
    <x v="0"/>
    <x v="14"/>
    <x v="0"/>
    <x v="4"/>
    <s v="LL"/>
    <x v="86"/>
    <x v="1"/>
    <x v="1"/>
    <x v="0"/>
    <x v="0"/>
  </r>
  <r>
    <s v="VGG5532C1361"/>
    <x v="27"/>
    <n v="56.3065"/>
    <x v="0"/>
    <x v="22"/>
    <x v="1"/>
    <x v="8"/>
    <s v="LL"/>
    <x v="86"/>
    <x v="1"/>
    <x v="1"/>
    <x v="0"/>
    <x v="0"/>
  </r>
  <r>
    <s v="VGG5532C1361"/>
    <x v="7"/>
    <n v="0.46400000000000002"/>
    <x v="0"/>
    <x v="7"/>
    <x v="0"/>
    <x v="4"/>
    <s v="LL"/>
    <x v="86"/>
    <x v="1"/>
    <x v="1"/>
    <x v="0"/>
    <x v="0"/>
  </r>
  <r>
    <s v="VGG5532C1361"/>
    <x v="25"/>
    <n v="0.42220000000000002"/>
    <x v="0"/>
    <x v="7"/>
    <x v="0"/>
    <x v="4"/>
    <s v="LL"/>
    <x v="86"/>
    <x v="1"/>
    <x v="1"/>
    <x v="0"/>
    <x v="0"/>
  </r>
  <r>
    <s v="VGG5532C1361"/>
    <x v="20"/>
    <n v="0.39200000000000002"/>
    <x v="0"/>
    <x v="8"/>
    <x v="0"/>
    <x v="4"/>
    <s v="LL"/>
    <x v="86"/>
    <x v="1"/>
    <x v="1"/>
    <x v="0"/>
    <x v="0"/>
  </r>
  <r>
    <s v="VGG5532C1361"/>
    <x v="21"/>
    <n v="0.5857"/>
    <x v="0"/>
    <x v="8"/>
    <x v="0"/>
    <x v="4"/>
    <s v="LL"/>
    <x v="86"/>
    <x v="1"/>
    <x v="1"/>
    <x v="0"/>
    <x v="0"/>
  </r>
  <r>
    <s v="VGG5532C1361"/>
    <x v="8"/>
    <n v="0.37330000000000002"/>
    <x v="0"/>
    <x v="8"/>
    <x v="0"/>
    <x v="4"/>
    <s v="LL"/>
    <x v="86"/>
    <x v="1"/>
    <x v="1"/>
    <x v="0"/>
    <x v="0"/>
  </r>
  <r>
    <s v="VGG5532C1445"/>
    <x v="11"/>
    <n v="4.9000000000000002E-2"/>
    <x v="0"/>
    <x v="11"/>
    <x v="3"/>
    <x v="4"/>
    <s v="LL"/>
    <x v="87"/>
    <x v="1"/>
    <x v="1"/>
    <x v="0"/>
    <x v="0"/>
  </r>
  <r>
    <s v="VGG5532C1445"/>
    <x v="4"/>
    <n v="0.01"/>
    <x v="1"/>
    <x v="4"/>
    <x v="0"/>
    <x v="4"/>
    <s v="LL"/>
    <x v="87"/>
    <x v="1"/>
    <x v="1"/>
    <x v="0"/>
    <x v="0"/>
  </r>
  <r>
    <s v="VGG5532C1445"/>
    <x v="1"/>
    <n v="4.7100000000000003E-2"/>
    <x v="0"/>
    <x v="1"/>
    <x v="0"/>
    <x v="1"/>
    <s v="LL"/>
    <x v="87"/>
    <x v="1"/>
    <x v="1"/>
    <x v="0"/>
    <x v="0"/>
  </r>
  <r>
    <s v="VGG5532C1445"/>
    <x v="14"/>
    <n v="3.5900000000000001E-2"/>
    <x v="0"/>
    <x v="14"/>
    <x v="0"/>
    <x v="4"/>
    <s v="LL"/>
    <x v="87"/>
    <x v="1"/>
    <x v="1"/>
    <x v="0"/>
    <x v="0"/>
  </r>
  <r>
    <s v="VGG5532C1445"/>
    <x v="7"/>
    <n v="3.4599999999999999E-2"/>
    <x v="0"/>
    <x v="7"/>
    <x v="0"/>
    <x v="4"/>
    <s v="LL"/>
    <x v="87"/>
    <x v="1"/>
    <x v="1"/>
    <x v="0"/>
    <x v="0"/>
  </r>
  <r>
    <s v="VGG5532C1445"/>
    <x v="25"/>
    <n v="3.15E-2"/>
    <x v="0"/>
    <x v="7"/>
    <x v="0"/>
    <x v="4"/>
    <s v="LL"/>
    <x v="87"/>
    <x v="1"/>
    <x v="1"/>
    <x v="0"/>
    <x v="0"/>
  </r>
  <r>
    <s v="VGG5532C1445"/>
    <x v="20"/>
    <n v="1.3299999999999999E-2"/>
    <x v="0"/>
    <x v="8"/>
    <x v="0"/>
    <x v="4"/>
    <s v="LL"/>
    <x v="87"/>
    <x v="1"/>
    <x v="1"/>
    <x v="0"/>
    <x v="0"/>
  </r>
  <r>
    <s v="VGG5532C1445"/>
    <x v="8"/>
    <n v="2.7799999999999998E-2"/>
    <x v="0"/>
    <x v="8"/>
    <x v="0"/>
    <x v="4"/>
    <s v="LL"/>
    <x v="87"/>
    <x v="1"/>
    <x v="1"/>
    <x v="0"/>
    <x v="0"/>
  </r>
  <r>
    <s v="XD0002818892"/>
    <x v="5"/>
    <n v="3.3405"/>
    <x v="0"/>
    <x v="5"/>
    <x v="0"/>
    <x v="4"/>
    <s v="COINGCML Index"/>
    <x v="88"/>
    <x v="1"/>
    <x v="2"/>
    <x v="3"/>
    <x v="1"/>
  </r>
  <r>
    <s v="XD0113751685"/>
    <x v="3"/>
    <n v="3.7"/>
    <x v="1"/>
    <x v="3"/>
    <x v="0"/>
    <x v="3"/>
    <s v="MAR"/>
    <x v="89"/>
    <x v="1"/>
    <x v="20"/>
    <x v="3"/>
    <x v="0"/>
  </r>
  <r>
    <s v="XD0487112704"/>
    <x v="30"/>
    <n v="92.849000000000004"/>
    <x v="0"/>
    <x v="25"/>
    <x v="0"/>
    <x v="2"/>
    <s v="SER"/>
    <x v="90"/>
    <x v="1"/>
    <x v="20"/>
    <x v="3"/>
    <x v="8"/>
  </r>
  <r>
    <s v="XD0511113454"/>
    <x v="10"/>
    <n v="4.0134999999999996"/>
    <x v="0"/>
    <x v="10"/>
    <x v="2"/>
    <x v="2"/>
    <s v="Alphaquest Original"/>
    <x v="91"/>
    <x v="1"/>
    <x v="12"/>
    <x v="0"/>
    <x v="0"/>
  </r>
  <r>
    <s v="XS2003586869"/>
    <x v="12"/>
    <n v="0.1"/>
    <x v="1"/>
    <x v="12"/>
    <x v="0"/>
    <x v="4"/>
    <s v="XS2003586869 Corp"/>
    <x v="92"/>
    <x v="3"/>
    <x v="18"/>
    <x v="0"/>
    <x v="9"/>
  </r>
  <r>
    <s v="XS2003586869"/>
    <x v="9"/>
    <n v="1.1900000000000001E-2"/>
    <x v="0"/>
    <x v="9"/>
    <x v="0"/>
    <x v="4"/>
    <s v="XS2003586869 Corp"/>
    <x v="92"/>
    <x v="3"/>
    <x v="18"/>
    <x v="0"/>
    <x v="9"/>
  </r>
  <r>
    <s v="LU0646914142"/>
    <x v="31"/>
    <n v="2"/>
    <x v="2"/>
    <x v="26"/>
    <x v="1"/>
    <x v="2"/>
    <s v="AREIIBA LX Equity"/>
    <x v="58"/>
    <x v="3"/>
    <x v="14"/>
    <x v="0"/>
    <x v="0"/>
  </r>
  <r>
    <s v="LU0646914142"/>
    <x v="32"/>
    <n v="2"/>
    <x v="2"/>
    <x v="27"/>
    <x v="1"/>
    <x v="2"/>
    <s v="AREIIBA LX Equity"/>
    <x v="58"/>
    <x v="3"/>
    <x v="14"/>
    <x v="0"/>
    <x v="0"/>
  </r>
  <r>
    <s v="LU0646914142"/>
    <x v="33"/>
    <n v="3"/>
    <x v="2"/>
    <x v="28"/>
    <x v="1"/>
    <x v="0"/>
    <s v="AREIIBA LX Equity"/>
    <x v="58"/>
    <x v="3"/>
    <x v="14"/>
    <x v="0"/>
    <x v="0"/>
  </r>
  <r>
    <s v="LU0646914142"/>
    <x v="34"/>
    <n v="3"/>
    <x v="2"/>
    <x v="29"/>
    <x v="1"/>
    <x v="0"/>
    <s v="AREIIBA LX Equity"/>
    <x v="58"/>
    <x v="3"/>
    <x v="14"/>
    <x v="0"/>
    <x v="0"/>
  </r>
  <r>
    <s v="LU0646914142"/>
    <x v="35"/>
    <n v="4"/>
    <x v="2"/>
    <x v="30"/>
    <x v="1"/>
    <x v="4"/>
    <s v="AREIIBA LX Equity"/>
    <x v="58"/>
    <x v="3"/>
    <x v="14"/>
    <x v="0"/>
    <x v="0"/>
  </r>
  <r>
    <s v="LU0646914142"/>
    <x v="36"/>
    <n v="5"/>
    <x v="2"/>
    <x v="31"/>
    <x v="1"/>
    <x v="4"/>
    <s v="AREIIBA LX Equity"/>
    <x v="58"/>
    <x v="3"/>
    <x v="14"/>
    <x v="0"/>
    <x v="0"/>
  </r>
  <r>
    <s v="LU0646914142"/>
    <x v="37"/>
    <n v="3"/>
    <x v="2"/>
    <x v="32"/>
    <x v="1"/>
    <x v="5"/>
    <s v="AREIIBA LX Equity"/>
    <x v="58"/>
    <x v="3"/>
    <x v="14"/>
    <x v="0"/>
    <x v="0"/>
  </r>
  <r>
    <s v="LU0646914142"/>
    <x v="38"/>
    <n v="5"/>
    <x v="2"/>
    <x v="33"/>
    <x v="1"/>
    <x v="5"/>
    <s v="AREIIBA LX Equity"/>
    <x v="58"/>
    <x v="3"/>
    <x v="14"/>
    <x v="0"/>
    <x v="0"/>
  </r>
  <r>
    <s v="LU0646914142"/>
    <x v="39"/>
    <n v="2"/>
    <x v="2"/>
    <x v="34"/>
    <x v="0"/>
    <x v="2"/>
    <s v="AREIIBA LX Equity"/>
    <x v="58"/>
    <x v="3"/>
    <x v="14"/>
    <x v="0"/>
    <x v="0"/>
  </r>
  <r>
    <s v="LU0646914142"/>
    <x v="40"/>
    <n v="2"/>
    <x v="2"/>
    <x v="35"/>
    <x v="0"/>
    <x v="2"/>
    <s v="AREIIBA LX Equity"/>
    <x v="58"/>
    <x v="3"/>
    <x v="14"/>
    <x v="0"/>
    <x v="0"/>
  </r>
  <r>
    <s v="LU0646914142"/>
    <x v="41"/>
    <n v="3"/>
    <x v="2"/>
    <x v="36"/>
    <x v="0"/>
    <x v="0"/>
    <s v="AREIIBA LX Equity"/>
    <x v="58"/>
    <x v="3"/>
    <x v="14"/>
    <x v="0"/>
    <x v="0"/>
  </r>
  <r>
    <s v="LU0646914142"/>
    <x v="42"/>
    <n v="3"/>
    <x v="2"/>
    <x v="37"/>
    <x v="0"/>
    <x v="0"/>
    <s v="AREIIBA LX Equity"/>
    <x v="58"/>
    <x v="3"/>
    <x v="14"/>
    <x v="0"/>
    <x v="0"/>
  </r>
  <r>
    <s v="LU0646914142"/>
    <x v="43"/>
    <n v="4"/>
    <x v="2"/>
    <x v="38"/>
    <x v="0"/>
    <x v="4"/>
    <s v="AREIIBA LX Equity"/>
    <x v="58"/>
    <x v="3"/>
    <x v="14"/>
    <x v="0"/>
    <x v="0"/>
  </r>
  <r>
    <s v="LU0646914142"/>
    <x v="44"/>
    <n v="5"/>
    <x v="2"/>
    <x v="39"/>
    <x v="0"/>
    <x v="4"/>
    <s v="AREIIBA LX Equity"/>
    <x v="58"/>
    <x v="3"/>
    <x v="14"/>
    <x v="0"/>
    <x v="0"/>
  </r>
  <r>
    <s v="LU0646914142"/>
    <x v="45"/>
    <n v="3"/>
    <x v="2"/>
    <x v="40"/>
    <x v="0"/>
    <x v="5"/>
    <s v="AREIIBA LX Equity"/>
    <x v="58"/>
    <x v="3"/>
    <x v="14"/>
    <x v="0"/>
    <x v="0"/>
  </r>
  <r>
    <s v="LU0646914142"/>
    <x v="46"/>
    <n v="5"/>
    <x v="2"/>
    <x v="41"/>
    <x v="0"/>
    <x v="5"/>
    <s v="AREIIBA LX Equity"/>
    <x v="58"/>
    <x v="3"/>
    <x v="14"/>
    <x v="0"/>
    <x v="0"/>
  </r>
  <r>
    <s v="LU0646914142"/>
    <x v="47"/>
    <n v="2"/>
    <x v="2"/>
    <x v="42"/>
    <x v="2"/>
    <x v="2"/>
    <s v="AREIIBA LX Equity"/>
    <x v="58"/>
    <x v="3"/>
    <x v="14"/>
    <x v="0"/>
    <x v="0"/>
  </r>
  <r>
    <s v="LU0646914142"/>
    <x v="48"/>
    <n v="2"/>
    <x v="2"/>
    <x v="43"/>
    <x v="2"/>
    <x v="2"/>
    <s v="AREIIBA LX Equity"/>
    <x v="58"/>
    <x v="3"/>
    <x v="14"/>
    <x v="0"/>
    <x v="0"/>
  </r>
  <r>
    <s v="LU0646914142"/>
    <x v="49"/>
    <n v="3"/>
    <x v="2"/>
    <x v="44"/>
    <x v="2"/>
    <x v="0"/>
    <s v="AREIIBA LX Equity"/>
    <x v="58"/>
    <x v="3"/>
    <x v="14"/>
    <x v="0"/>
    <x v="0"/>
  </r>
  <r>
    <s v="LU0646914142"/>
    <x v="50"/>
    <n v="3"/>
    <x v="2"/>
    <x v="45"/>
    <x v="2"/>
    <x v="0"/>
    <s v="AREIIBA LX Equity"/>
    <x v="58"/>
    <x v="3"/>
    <x v="14"/>
    <x v="0"/>
    <x v="0"/>
  </r>
  <r>
    <s v="LU0646914142"/>
    <x v="51"/>
    <n v="4"/>
    <x v="2"/>
    <x v="46"/>
    <x v="2"/>
    <x v="4"/>
    <s v="AREIIBA LX Equity"/>
    <x v="58"/>
    <x v="3"/>
    <x v="14"/>
    <x v="0"/>
    <x v="0"/>
  </r>
  <r>
    <s v="LU0646914142"/>
    <x v="52"/>
    <n v="5"/>
    <x v="2"/>
    <x v="47"/>
    <x v="2"/>
    <x v="4"/>
    <s v="AREIIBA LX Equity"/>
    <x v="58"/>
    <x v="3"/>
    <x v="14"/>
    <x v="0"/>
    <x v="0"/>
  </r>
  <r>
    <s v="LU0646914142"/>
    <x v="53"/>
    <n v="3"/>
    <x v="2"/>
    <x v="48"/>
    <x v="2"/>
    <x v="5"/>
    <s v="AREIIBA LX Equity"/>
    <x v="58"/>
    <x v="3"/>
    <x v="14"/>
    <x v="0"/>
    <x v="0"/>
  </r>
  <r>
    <s v="LU0646914142"/>
    <x v="54"/>
    <n v="5"/>
    <x v="2"/>
    <x v="49"/>
    <x v="2"/>
    <x v="5"/>
    <s v="AREIIBA LX Equity"/>
    <x v="58"/>
    <x v="3"/>
    <x v="14"/>
    <x v="0"/>
    <x v="0"/>
  </r>
  <r>
    <s v="LU0646914142"/>
    <x v="55"/>
    <n v="2"/>
    <x v="2"/>
    <x v="50"/>
    <x v="3"/>
    <x v="2"/>
    <s v="AREIIBA LX Equity"/>
    <x v="58"/>
    <x v="3"/>
    <x v="14"/>
    <x v="0"/>
    <x v="0"/>
  </r>
  <r>
    <s v="LU0646914142"/>
    <x v="56"/>
    <n v="2"/>
    <x v="2"/>
    <x v="51"/>
    <x v="3"/>
    <x v="2"/>
    <s v="AREIIBA LX Equity"/>
    <x v="58"/>
    <x v="3"/>
    <x v="14"/>
    <x v="0"/>
    <x v="0"/>
  </r>
  <r>
    <s v="LU0646914142"/>
    <x v="57"/>
    <n v="3"/>
    <x v="2"/>
    <x v="52"/>
    <x v="3"/>
    <x v="0"/>
    <s v="AREIIBA LX Equity"/>
    <x v="58"/>
    <x v="3"/>
    <x v="14"/>
    <x v="0"/>
    <x v="0"/>
  </r>
  <r>
    <s v="LU0646914142"/>
    <x v="58"/>
    <n v="3"/>
    <x v="2"/>
    <x v="53"/>
    <x v="3"/>
    <x v="0"/>
    <s v="AREIIBA LX Equity"/>
    <x v="58"/>
    <x v="3"/>
    <x v="14"/>
    <x v="0"/>
    <x v="0"/>
  </r>
  <r>
    <s v="LU0646914142"/>
    <x v="59"/>
    <n v="4"/>
    <x v="2"/>
    <x v="54"/>
    <x v="3"/>
    <x v="4"/>
    <s v="AREIIBA LX Equity"/>
    <x v="58"/>
    <x v="3"/>
    <x v="14"/>
    <x v="0"/>
    <x v="0"/>
  </r>
  <r>
    <s v="LU0646914142"/>
    <x v="60"/>
    <n v="5"/>
    <x v="2"/>
    <x v="55"/>
    <x v="3"/>
    <x v="4"/>
    <s v="AREIIBA LX Equity"/>
    <x v="58"/>
    <x v="3"/>
    <x v="14"/>
    <x v="0"/>
    <x v="0"/>
  </r>
  <r>
    <s v="LU0646914142"/>
    <x v="61"/>
    <n v="3"/>
    <x v="2"/>
    <x v="56"/>
    <x v="3"/>
    <x v="5"/>
    <s v="AREIIBA LX Equity"/>
    <x v="58"/>
    <x v="3"/>
    <x v="14"/>
    <x v="0"/>
    <x v="0"/>
  </r>
  <r>
    <s v="LU0646914142"/>
    <x v="62"/>
    <n v="5"/>
    <x v="2"/>
    <x v="57"/>
    <x v="3"/>
    <x v="5"/>
    <s v="AREIIBA LX Equity"/>
    <x v="58"/>
    <x v="3"/>
    <x v="14"/>
    <x v="0"/>
    <x v="0"/>
  </r>
  <r>
    <s v="IE00BFMNVB92"/>
    <x v="31"/>
    <n v="0"/>
    <x v="2"/>
    <x v="26"/>
    <x v="1"/>
    <x v="2"/>
    <s v="BLWEEAE ID Equity"/>
    <x v="93"/>
    <x v="0"/>
    <x v="8"/>
    <x v="0"/>
    <x v="0"/>
  </r>
  <r>
    <s v="IE00BFMNVB92"/>
    <x v="32"/>
    <n v="0"/>
    <x v="2"/>
    <x v="27"/>
    <x v="1"/>
    <x v="2"/>
    <s v="BLWEEAE ID Equity"/>
    <x v="93"/>
    <x v="0"/>
    <x v="8"/>
    <x v="0"/>
    <x v="0"/>
  </r>
  <r>
    <s v="IE00BFMNVB92"/>
    <x v="33"/>
    <n v="0"/>
    <x v="2"/>
    <x v="28"/>
    <x v="1"/>
    <x v="0"/>
    <s v="BLWEEAE ID Equity"/>
    <x v="93"/>
    <x v="0"/>
    <x v="8"/>
    <x v="0"/>
    <x v="0"/>
  </r>
  <r>
    <s v="IE00BFMNVB92"/>
    <x v="34"/>
    <n v="0"/>
    <x v="2"/>
    <x v="29"/>
    <x v="1"/>
    <x v="0"/>
    <s v="BLWEEAE ID Equity"/>
    <x v="93"/>
    <x v="0"/>
    <x v="8"/>
    <x v="0"/>
    <x v="0"/>
  </r>
  <r>
    <s v="IE00BFMNVB92"/>
    <x v="35"/>
    <n v="0"/>
    <x v="2"/>
    <x v="30"/>
    <x v="1"/>
    <x v="4"/>
    <s v="BLWEEAE ID Equity"/>
    <x v="93"/>
    <x v="0"/>
    <x v="8"/>
    <x v="0"/>
    <x v="0"/>
  </r>
  <r>
    <s v="IE00BFMNVB92"/>
    <x v="36"/>
    <n v="0"/>
    <x v="2"/>
    <x v="31"/>
    <x v="1"/>
    <x v="4"/>
    <s v="BLWEEAE ID Equity"/>
    <x v="93"/>
    <x v="0"/>
    <x v="8"/>
    <x v="0"/>
    <x v="0"/>
  </r>
  <r>
    <s v="IE00BFMNVB92"/>
    <x v="37"/>
    <n v="0"/>
    <x v="2"/>
    <x v="32"/>
    <x v="1"/>
    <x v="5"/>
    <s v="BLWEEAE ID Equity"/>
    <x v="93"/>
    <x v="0"/>
    <x v="8"/>
    <x v="0"/>
    <x v="0"/>
  </r>
  <r>
    <s v="IE00BFMNVB92"/>
    <x v="38"/>
    <n v="0"/>
    <x v="2"/>
    <x v="33"/>
    <x v="1"/>
    <x v="5"/>
    <s v="BLWEEAE ID Equity"/>
    <x v="93"/>
    <x v="0"/>
    <x v="8"/>
    <x v="0"/>
    <x v="0"/>
  </r>
  <r>
    <s v="IE00BFMNVB92"/>
    <x v="39"/>
    <n v="0"/>
    <x v="2"/>
    <x v="34"/>
    <x v="0"/>
    <x v="2"/>
    <s v="BLWEEAE ID Equity"/>
    <x v="93"/>
    <x v="0"/>
    <x v="8"/>
    <x v="0"/>
    <x v="0"/>
  </r>
  <r>
    <s v="IE00BFMNVB92"/>
    <x v="40"/>
    <n v="0"/>
    <x v="2"/>
    <x v="35"/>
    <x v="0"/>
    <x v="2"/>
    <s v="BLWEEAE ID Equity"/>
    <x v="93"/>
    <x v="0"/>
    <x v="8"/>
    <x v="0"/>
    <x v="0"/>
  </r>
  <r>
    <s v="IE00BFMNVB92"/>
    <x v="41"/>
    <n v="0"/>
    <x v="2"/>
    <x v="36"/>
    <x v="0"/>
    <x v="0"/>
    <s v="BLWEEAE ID Equity"/>
    <x v="93"/>
    <x v="0"/>
    <x v="8"/>
    <x v="0"/>
    <x v="0"/>
  </r>
  <r>
    <s v="IE00BFMNVB92"/>
    <x v="42"/>
    <n v="0"/>
    <x v="2"/>
    <x v="37"/>
    <x v="0"/>
    <x v="0"/>
    <s v="BLWEEAE ID Equity"/>
    <x v="93"/>
    <x v="0"/>
    <x v="8"/>
    <x v="0"/>
    <x v="0"/>
  </r>
  <r>
    <s v="IE00BFMNVB92"/>
    <x v="43"/>
    <n v="0"/>
    <x v="2"/>
    <x v="38"/>
    <x v="0"/>
    <x v="4"/>
    <s v="BLWEEAE ID Equity"/>
    <x v="93"/>
    <x v="0"/>
    <x v="8"/>
    <x v="0"/>
    <x v="0"/>
  </r>
  <r>
    <s v="IE00BFMNVB92"/>
    <x v="44"/>
    <n v="0"/>
    <x v="2"/>
    <x v="39"/>
    <x v="0"/>
    <x v="4"/>
    <s v="BLWEEAE ID Equity"/>
    <x v="93"/>
    <x v="0"/>
    <x v="8"/>
    <x v="0"/>
    <x v="0"/>
  </r>
  <r>
    <s v="IE00BFMNVB92"/>
    <x v="45"/>
    <n v="0"/>
    <x v="2"/>
    <x v="40"/>
    <x v="0"/>
    <x v="5"/>
    <s v="BLWEEAE ID Equity"/>
    <x v="93"/>
    <x v="0"/>
    <x v="8"/>
    <x v="0"/>
    <x v="0"/>
  </r>
  <r>
    <s v="IE00BFMNVB92"/>
    <x v="46"/>
    <n v="0"/>
    <x v="2"/>
    <x v="41"/>
    <x v="0"/>
    <x v="5"/>
    <s v="BLWEEAE ID Equity"/>
    <x v="93"/>
    <x v="0"/>
    <x v="8"/>
    <x v="0"/>
    <x v="0"/>
  </r>
  <r>
    <s v="IE00BFMNVB92"/>
    <x v="47"/>
    <n v="0"/>
    <x v="2"/>
    <x v="42"/>
    <x v="2"/>
    <x v="2"/>
    <s v="BLWEEAE ID Equity"/>
    <x v="93"/>
    <x v="0"/>
    <x v="8"/>
    <x v="0"/>
    <x v="0"/>
  </r>
  <r>
    <s v="IE00BFMNVB92"/>
    <x v="48"/>
    <n v="0"/>
    <x v="2"/>
    <x v="43"/>
    <x v="2"/>
    <x v="2"/>
    <s v="BLWEEAE ID Equity"/>
    <x v="93"/>
    <x v="0"/>
    <x v="8"/>
    <x v="0"/>
    <x v="0"/>
  </r>
  <r>
    <s v="IE00BFMNVB92"/>
    <x v="49"/>
    <n v="0"/>
    <x v="2"/>
    <x v="44"/>
    <x v="2"/>
    <x v="0"/>
    <s v="BLWEEAE ID Equity"/>
    <x v="93"/>
    <x v="0"/>
    <x v="8"/>
    <x v="0"/>
    <x v="0"/>
  </r>
  <r>
    <s v="IE00BFMNVB92"/>
    <x v="50"/>
    <n v="0"/>
    <x v="2"/>
    <x v="45"/>
    <x v="2"/>
    <x v="0"/>
    <s v="BLWEEAE ID Equity"/>
    <x v="93"/>
    <x v="0"/>
    <x v="8"/>
    <x v="0"/>
    <x v="0"/>
  </r>
  <r>
    <s v="IE00BFMNVB92"/>
    <x v="51"/>
    <n v="0"/>
    <x v="2"/>
    <x v="46"/>
    <x v="2"/>
    <x v="4"/>
    <s v="BLWEEAE ID Equity"/>
    <x v="93"/>
    <x v="0"/>
    <x v="8"/>
    <x v="0"/>
    <x v="0"/>
  </r>
  <r>
    <s v="IE00BFMNVB92"/>
    <x v="52"/>
    <n v="0"/>
    <x v="2"/>
    <x v="47"/>
    <x v="2"/>
    <x v="4"/>
    <s v="BLWEEAE ID Equity"/>
    <x v="93"/>
    <x v="0"/>
    <x v="8"/>
    <x v="0"/>
    <x v="0"/>
  </r>
  <r>
    <s v="IE00BFMNVB92"/>
    <x v="53"/>
    <n v="0"/>
    <x v="2"/>
    <x v="48"/>
    <x v="2"/>
    <x v="5"/>
    <s v="BLWEEAE ID Equity"/>
    <x v="93"/>
    <x v="0"/>
    <x v="8"/>
    <x v="0"/>
    <x v="0"/>
  </r>
  <r>
    <s v="IE00BFMNVB92"/>
    <x v="54"/>
    <n v="0"/>
    <x v="2"/>
    <x v="49"/>
    <x v="2"/>
    <x v="5"/>
    <s v="BLWEEAE ID Equity"/>
    <x v="93"/>
    <x v="0"/>
    <x v="8"/>
    <x v="0"/>
    <x v="0"/>
  </r>
  <r>
    <s v="IE00BFMNVB92"/>
    <x v="55"/>
    <n v="0"/>
    <x v="2"/>
    <x v="50"/>
    <x v="3"/>
    <x v="2"/>
    <s v="BLWEEAE ID Equity"/>
    <x v="93"/>
    <x v="0"/>
    <x v="8"/>
    <x v="0"/>
    <x v="0"/>
  </r>
  <r>
    <s v="IE00BFMNVB92"/>
    <x v="56"/>
    <n v="0"/>
    <x v="2"/>
    <x v="51"/>
    <x v="3"/>
    <x v="2"/>
    <s v="BLWEEAE ID Equity"/>
    <x v="93"/>
    <x v="0"/>
    <x v="8"/>
    <x v="0"/>
    <x v="0"/>
  </r>
  <r>
    <s v="IE00BFMNVB92"/>
    <x v="57"/>
    <n v="0"/>
    <x v="2"/>
    <x v="52"/>
    <x v="3"/>
    <x v="0"/>
    <s v="BLWEEAE ID Equity"/>
    <x v="93"/>
    <x v="0"/>
    <x v="8"/>
    <x v="0"/>
    <x v="0"/>
  </r>
  <r>
    <s v="IE00BFMNVB92"/>
    <x v="58"/>
    <n v="0"/>
    <x v="2"/>
    <x v="53"/>
    <x v="3"/>
    <x v="0"/>
    <s v="BLWEEAE ID Equity"/>
    <x v="93"/>
    <x v="0"/>
    <x v="8"/>
    <x v="0"/>
    <x v="0"/>
  </r>
  <r>
    <s v="IE00BFMNVB92"/>
    <x v="59"/>
    <n v="0"/>
    <x v="2"/>
    <x v="54"/>
    <x v="3"/>
    <x v="4"/>
    <s v="BLWEEAE ID Equity"/>
    <x v="93"/>
    <x v="0"/>
    <x v="8"/>
    <x v="0"/>
    <x v="0"/>
  </r>
  <r>
    <s v="IE00BFMNVB92"/>
    <x v="60"/>
    <n v="0"/>
    <x v="2"/>
    <x v="55"/>
    <x v="3"/>
    <x v="4"/>
    <s v="BLWEEAE ID Equity"/>
    <x v="93"/>
    <x v="0"/>
    <x v="8"/>
    <x v="0"/>
    <x v="0"/>
  </r>
  <r>
    <s v="IE00BFMNVB92"/>
    <x v="61"/>
    <n v="0"/>
    <x v="2"/>
    <x v="56"/>
    <x v="3"/>
    <x v="5"/>
    <s v="BLWEEAE ID Equity"/>
    <x v="93"/>
    <x v="0"/>
    <x v="8"/>
    <x v="0"/>
    <x v="0"/>
  </r>
  <r>
    <s v="IE00BFMNVB92"/>
    <x v="62"/>
    <n v="0"/>
    <x v="2"/>
    <x v="57"/>
    <x v="3"/>
    <x v="5"/>
    <s v="BLWEEAE ID Equity"/>
    <x v="93"/>
    <x v="0"/>
    <x v="8"/>
    <x v="0"/>
    <x v="0"/>
  </r>
  <r>
    <s v="LU1901202280"/>
    <x v="31"/>
    <n v="57"/>
    <x v="2"/>
    <x v="26"/>
    <x v="1"/>
    <x v="2"/>
    <s v="DREQUIA LX Equity"/>
    <x v="64"/>
    <x v="0"/>
    <x v="16"/>
    <x v="0"/>
    <x v="0"/>
  </r>
  <r>
    <s v="LU1901202280"/>
    <x v="32"/>
    <n v="45"/>
    <x v="2"/>
    <x v="27"/>
    <x v="1"/>
    <x v="2"/>
    <s v="DREQUIA LX Equity"/>
    <x v="64"/>
    <x v="0"/>
    <x v="16"/>
    <x v="0"/>
    <x v="0"/>
  </r>
  <r>
    <s v="LU1901202280"/>
    <x v="33"/>
    <n v="40"/>
    <x v="2"/>
    <x v="28"/>
    <x v="1"/>
    <x v="0"/>
    <s v="DREQUIA LX Equity"/>
    <x v="64"/>
    <x v="0"/>
    <x v="16"/>
    <x v="0"/>
    <x v="0"/>
  </r>
  <r>
    <s v="LU1901202280"/>
    <x v="34"/>
    <n v="32"/>
    <x v="2"/>
    <x v="29"/>
    <x v="1"/>
    <x v="0"/>
    <s v="DREQUIA LX Equity"/>
    <x v="64"/>
    <x v="0"/>
    <x v="16"/>
    <x v="0"/>
    <x v="0"/>
  </r>
  <r>
    <s v="LU1901202280"/>
    <x v="35"/>
    <n v="22"/>
    <x v="2"/>
    <x v="30"/>
    <x v="1"/>
    <x v="4"/>
    <s v="DREQUIA LX Equity"/>
    <x v="64"/>
    <x v="0"/>
    <x v="16"/>
    <x v="0"/>
    <x v="0"/>
  </r>
  <r>
    <s v="LU1901202280"/>
    <x v="36"/>
    <n v="16"/>
    <x v="2"/>
    <x v="31"/>
    <x v="1"/>
    <x v="4"/>
    <s v="DREQUIA LX Equity"/>
    <x v="64"/>
    <x v="0"/>
    <x v="16"/>
    <x v="0"/>
    <x v="0"/>
  </r>
  <r>
    <s v="LU1901202280"/>
    <x v="37"/>
    <n v="16"/>
    <x v="2"/>
    <x v="32"/>
    <x v="1"/>
    <x v="5"/>
    <s v="DREQUIA LX Equity"/>
    <x v="64"/>
    <x v="0"/>
    <x v="16"/>
    <x v="0"/>
    <x v="0"/>
  </r>
  <r>
    <s v="LU1901202280"/>
    <x v="38"/>
    <n v="13"/>
    <x v="2"/>
    <x v="33"/>
    <x v="1"/>
    <x v="5"/>
    <s v="DREQUIA LX Equity"/>
    <x v="64"/>
    <x v="0"/>
    <x v="16"/>
    <x v="0"/>
    <x v="0"/>
  </r>
  <r>
    <s v="LU1901202280"/>
    <x v="39"/>
    <n v="57"/>
    <x v="2"/>
    <x v="34"/>
    <x v="0"/>
    <x v="2"/>
    <s v="DREQUIA LX Equity"/>
    <x v="64"/>
    <x v="0"/>
    <x v="16"/>
    <x v="0"/>
    <x v="0"/>
  </r>
  <r>
    <s v="LU1901202280"/>
    <x v="40"/>
    <n v="45"/>
    <x v="2"/>
    <x v="35"/>
    <x v="0"/>
    <x v="2"/>
    <s v="DREQUIA LX Equity"/>
    <x v="64"/>
    <x v="0"/>
    <x v="16"/>
    <x v="0"/>
    <x v="0"/>
  </r>
  <r>
    <s v="LU1901202280"/>
    <x v="41"/>
    <n v="40"/>
    <x v="2"/>
    <x v="36"/>
    <x v="0"/>
    <x v="0"/>
    <s v="DREQUIA LX Equity"/>
    <x v="64"/>
    <x v="0"/>
    <x v="16"/>
    <x v="0"/>
    <x v="0"/>
  </r>
  <r>
    <s v="LU1901202280"/>
    <x v="42"/>
    <n v="32"/>
    <x v="2"/>
    <x v="37"/>
    <x v="0"/>
    <x v="0"/>
    <s v="DREQUIA LX Equity"/>
    <x v="64"/>
    <x v="0"/>
    <x v="16"/>
    <x v="0"/>
    <x v="0"/>
  </r>
  <r>
    <s v="LU1901202280"/>
    <x v="43"/>
    <n v="22"/>
    <x v="2"/>
    <x v="38"/>
    <x v="0"/>
    <x v="4"/>
    <s v="DREQUIA LX Equity"/>
    <x v="64"/>
    <x v="0"/>
    <x v="16"/>
    <x v="0"/>
    <x v="0"/>
  </r>
  <r>
    <s v="LU1901202280"/>
    <x v="44"/>
    <n v="16"/>
    <x v="2"/>
    <x v="39"/>
    <x v="0"/>
    <x v="4"/>
    <s v="DREQUIA LX Equity"/>
    <x v="64"/>
    <x v="0"/>
    <x v="16"/>
    <x v="0"/>
    <x v="0"/>
  </r>
  <r>
    <s v="LU1901202280"/>
    <x v="45"/>
    <n v="16"/>
    <x v="2"/>
    <x v="40"/>
    <x v="0"/>
    <x v="5"/>
    <s v="DREQUIA LX Equity"/>
    <x v="64"/>
    <x v="0"/>
    <x v="16"/>
    <x v="0"/>
    <x v="0"/>
  </r>
  <r>
    <s v="LU1901202280"/>
    <x v="46"/>
    <n v="13"/>
    <x v="2"/>
    <x v="41"/>
    <x v="0"/>
    <x v="5"/>
    <s v="DREQUIA LX Equity"/>
    <x v="64"/>
    <x v="0"/>
    <x v="16"/>
    <x v="0"/>
    <x v="0"/>
  </r>
  <r>
    <s v="LU1901202280"/>
    <x v="47"/>
    <n v="57"/>
    <x v="2"/>
    <x v="42"/>
    <x v="2"/>
    <x v="2"/>
    <s v="DREQUIA LX Equity"/>
    <x v="64"/>
    <x v="0"/>
    <x v="16"/>
    <x v="0"/>
    <x v="0"/>
  </r>
  <r>
    <s v="LU1901202280"/>
    <x v="48"/>
    <n v="45"/>
    <x v="2"/>
    <x v="43"/>
    <x v="2"/>
    <x v="2"/>
    <s v="DREQUIA LX Equity"/>
    <x v="64"/>
    <x v="0"/>
    <x v="16"/>
    <x v="0"/>
    <x v="0"/>
  </r>
  <r>
    <s v="LU1901202280"/>
    <x v="49"/>
    <n v="40"/>
    <x v="2"/>
    <x v="44"/>
    <x v="2"/>
    <x v="0"/>
    <s v="DREQUIA LX Equity"/>
    <x v="64"/>
    <x v="0"/>
    <x v="16"/>
    <x v="0"/>
    <x v="0"/>
  </r>
  <r>
    <s v="LU1901202280"/>
    <x v="50"/>
    <n v="32"/>
    <x v="2"/>
    <x v="45"/>
    <x v="2"/>
    <x v="0"/>
    <s v="DREQUIA LX Equity"/>
    <x v="64"/>
    <x v="0"/>
    <x v="16"/>
    <x v="0"/>
    <x v="0"/>
  </r>
  <r>
    <s v="LU1901202280"/>
    <x v="51"/>
    <n v="22"/>
    <x v="2"/>
    <x v="46"/>
    <x v="2"/>
    <x v="4"/>
    <s v="DREQUIA LX Equity"/>
    <x v="64"/>
    <x v="0"/>
    <x v="16"/>
    <x v="0"/>
    <x v="0"/>
  </r>
  <r>
    <s v="LU1901202280"/>
    <x v="52"/>
    <n v="16"/>
    <x v="2"/>
    <x v="47"/>
    <x v="2"/>
    <x v="4"/>
    <s v="DREQUIA LX Equity"/>
    <x v="64"/>
    <x v="0"/>
    <x v="16"/>
    <x v="0"/>
    <x v="0"/>
  </r>
  <r>
    <s v="LU1901202280"/>
    <x v="53"/>
    <n v="16"/>
    <x v="2"/>
    <x v="48"/>
    <x v="2"/>
    <x v="5"/>
    <s v="DREQUIA LX Equity"/>
    <x v="64"/>
    <x v="0"/>
    <x v="16"/>
    <x v="0"/>
    <x v="0"/>
  </r>
  <r>
    <s v="LU1901202280"/>
    <x v="54"/>
    <n v="13"/>
    <x v="2"/>
    <x v="49"/>
    <x v="2"/>
    <x v="5"/>
    <s v="DREQUIA LX Equity"/>
    <x v="64"/>
    <x v="0"/>
    <x v="16"/>
    <x v="0"/>
    <x v="0"/>
  </r>
  <r>
    <s v="LU1901202280"/>
    <x v="55"/>
    <n v="57"/>
    <x v="2"/>
    <x v="50"/>
    <x v="3"/>
    <x v="2"/>
    <s v="DREQUIA LX Equity"/>
    <x v="64"/>
    <x v="0"/>
    <x v="16"/>
    <x v="0"/>
    <x v="0"/>
  </r>
  <r>
    <s v="LU1901202280"/>
    <x v="56"/>
    <n v="45"/>
    <x v="2"/>
    <x v="51"/>
    <x v="3"/>
    <x v="2"/>
    <s v="DREQUIA LX Equity"/>
    <x v="64"/>
    <x v="0"/>
    <x v="16"/>
    <x v="0"/>
    <x v="0"/>
  </r>
  <r>
    <s v="LU1901202280"/>
    <x v="57"/>
    <n v="40"/>
    <x v="2"/>
    <x v="52"/>
    <x v="3"/>
    <x v="0"/>
    <s v="DREQUIA LX Equity"/>
    <x v="64"/>
    <x v="0"/>
    <x v="16"/>
    <x v="0"/>
    <x v="0"/>
  </r>
  <r>
    <s v="LU1901202280"/>
    <x v="58"/>
    <n v="32"/>
    <x v="2"/>
    <x v="53"/>
    <x v="3"/>
    <x v="0"/>
    <s v="DREQUIA LX Equity"/>
    <x v="64"/>
    <x v="0"/>
    <x v="16"/>
    <x v="0"/>
    <x v="0"/>
  </r>
  <r>
    <s v="LU1901202280"/>
    <x v="59"/>
    <n v="22"/>
    <x v="2"/>
    <x v="54"/>
    <x v="3"/>
    <x v="4"/>
    <s v="DREQUIA LX Equity"/>
    <x v="64"/>
    <x v="0"/>
    <x v="16"/>
    <x v="0"/>
    <x v="0"/>
  </r>
  <r>
    <s v="LU1901202280"/>
    <x v="60"/>
    <n v="16"/>
    <x v="2"/>
    <x v="55"/>
    <x v="3"/>
    <x v="4"/>
    <s v="DREQUIA LX Equity"/>
    <x v="64"/>
    <x v="0"/>
    <x v="16"/>
    <x v="0"/>
    <x v="0"/>
  </r>
  <r>
    <s v="LU1901202280"/>
    <x v="61"/>
    <n v="16"/>
    <x v="2"/>
    <x v="56"/>
    <x v="3"/>
    <x v="5"/>
    <s v="DREQUIA LX Equity"/>
    <x v="64"/>
    <x v="0"/>
    <x v="16"/>
    <x v="0"/>
    <x v="0"/>
  </r>
  <r>
    <s v="LU1901202280"/>
    <x v="62"/>
    <n v="13"/>
    <x v="2"/>
    <x v="57"/>
    <x v="3"/>
    <x v="5"/>
    <s v="DREQUIA LX Equity"/>
    <x v="64"/>
    <x v="0"/>
    <x v="16"/>
    <x v="0"/>
    <x v="0"/>
  </r>
  <r>
    <s v="LU1901202363"/>
    <x v="31"/>
    <n v="8"/>
    <x v="2"/>
    <x v="26"/>
    <x v="1"/>
    <x v="2"/>
    <s v="DRGLCRA LX Equity"/>
    <x v="65"/>
    <x v="3"/>
    <x v="17"/>
    <x v="0"/>
    <x v="0"/>
  </r>
  <r>
    <s v="LU1901202363"/>
    <x v="32"/>
    <n v="8"/>
    <x v="2"/>
    <x v="27"/>
    <x v="1"/>
    <x v="2"/>
    <s v="DRGLCRA LX Equity"/>
    <x v="65"/>
    <x v="3"/>
    <x v="17"/>
    <x v="0"/>
    <x v="0"/>
  </r>
  <r>
    <s v="LU1901202363"/>
    <x v="33"/>
    <n v="25"/>
    <x v="2"/>
    <x v="28"/>
    <x v="1"/>
    <x v="0"/>
    <s v="DRGLCRA LX Equity"/>
    <x v="65"/>
    <x v="3"/>
    <x v="17"/>
    <x v="0"/>
    <x v="0"/>
  </r>
  <r>
    <s v="LU1901202363"/>
    <x v="34"/>
    <n v="16"/>
    <x v="2"/>
    <x v="29"/>
    <x v="1"/>
    <x v="0"/>
    <s v="DRGLCRA LX Equity"/>
    <x v="65"/>
    <x v="3"/>
    <x v="17"/>
    <x v="0"/>
    <x v="0"/>
  </r>
  <r>
    <s v="LU1901202363"/>
    <x v="35"/>
    <n v="31"/>
    <x v="2"/>
    <x v="30"/>
    <x v="1"/>
    <x v="4"/>
    <s v="DRGLCRA LX Equity"/>
    <x v="65"/>
    <x v="3"/>
    <x v="17"/>
    <x v="0"/>
    <x v="0"/>
  </r>
  <r>
    <s v="LU1901202363"/>
    <x v="36"/>
    <n v="25"/>
    <x v="2"/>
    <x v="31"/>
    <x v="1"/>
    <x v="4"/>
    <s v="DRGLCRA LX Equity"/>
    <x v="65"/>
    <x v="3"/>
    <x v="17"/>
    <x v="0"/>
    <x v="0"/>
  </r>
  <r>
    <s v="LU1901202363"/>
    <x v="37"/>
    <n v="48"/>
    <x v="2"/>
    <x v="32"/>
    <x v="1"/>
    <x v="5"/>
    <s v="DRGLCRA LX Equity"/>
    <x v="65"/>
    <x v="3"/>
    <x v="17"/>
    <x v="0"/>
    <x v="0"/>
  </r>
  <r>
    <s v="LU1901202363"/>
    <x v="38"/>
    <n v="32"/>
    <x v="2"/>
    <x v="33"/>
    <x v="1"/>
    <x v="5"/>
    <s v="DRGLCRA LX Equity"/>
    <x v="65"/>
    <x v="3"/>
    <x v="17"/>
    <x v="0"/>
    <x v="0"/>
  </r>
  <r>
    <s v="LU1901202363"/>
    <x v="39"/>
    <n v="8"/>
    <x v="2"/>
    <x v="34"/>
    <x v="0"/>
    <x v="2"/>
    <s v="DRGLCRA LX Equity"/>
    <x v="65"/>
    <x v="3"/>
    <x v="17"/>
    <x v="0"/>
    <x v="0"/>
  </r>
  <r>
    <s v="LU1901202363"/>
    <x v="40"/>
    <n v="8"/>
    <x v="2"/>
    <x v="35"/>
    <x v="0"/>
    <x v="2"/>
    <s v="DRGLCRA LX Equity"/>
    <x v="65"/>
    <x v="3"/>
    <x v="17"/>
    <x v="0"/>
    <x v="0"/>
  </r>
  <r>
    <s v="LU1901202363"/>
    <x v="41"/>
    <n v="25"/>
    <x v="2"/>
    <x v="36"/>
    <x v="0"/>
    <x v="0"/>
    <s v="DRGLCRA LX Equity"/>
    <x v="65"/>
    <x v="3"/>
    <x v="17"/>
    <x v="0"/>
    <x v="0"/>
  </r>
  <r>
    <s v="LU1901202363"/>
    <x v="42"/>
    <n v="16"/>
    <x v="2"/>
    <x v="37"/>
    <x v="0"/>
    <x v="0"/>
    <s v="DRGLCRA LX Equity"/>
    <x v="65"/>
    <x v="3"/>
    <x v="17"/>
    <x v="0"/>
    <x v="0"/>
  </r>
  <r>
    <s v="LU1901202363"/>
    <x v="43"/>
    <n v="31"/>
    <x v="2"/>
    <x v="38"/>
    <x v="0"/>
    <x v="4"/>
    <s v="DRGLCRA LX Equity"/>
    <x v="65"/>
    <x v="3"/>
    <x v="17"/>
    <x v="0"/>
    <x v="0"/>
  </r>
  <r>
    <s v="LU1901202363"/>
    <x v="44"/>
    <n v="25"/>
    <x v="2"/>
    <x v="39"/>
    <x v="0"/>
    <x v="4"/>
    <s v="DRGLCRA LX Equity"/>
    <x v="65"/>
    <x v="3"/>
    <x v="17"/>
    <x v="0"/>
    <x v="0"/>
  </r>
  <r>
    <s v="LU1901202363"/>
    <x v="45"/>
    <n v="48"/>
    <x v="2"/>
    <x v="40"/>
    <x v="0"/>
    <x v="5"/>
    <s v="DRGLCRA LX Equity"/>
    <x v="65"/>
    <x v="3"/>
    <x v="17"/>
    <x v="0"/>
    <x v="0"/>
  </r>
  <r>
    <s v="LU1901202363"/>
    <x v="46"/>
    <n v="32"/>
    <x v="2"/>
    <x v="41"/>
    <x v="0"/>
    <x v="5"/>
    <s v="DRGLCRA LX Equity"/>
    <x v="65"/>
    <x v="3"/>
    <x v="17"/>
    <x v="0"/>
    <x v="0"/>
  </r>
  <r>
    <s v="LU1901202363"/>
    <x v="47"/>
    <n v="8"/>
    <x v="2"/>
    <x v="42"/>
    <x v="2"/>
    <x v="2"/>
    <s v="DRGLCRA LX Equity"/>
    <x v="65"/>
    <x v="3"/>
    <x v="17"/>
    <x v="0"/>
    <x v="0"/>
  </r>
  <r>
    <s v="LU1901202363"/>
    <x v="48"/>
    <n v="8"/>
    <x v="2"/>
    <x v="43"/>
    <x v="2"/>
    <x v="2"/>
    <s v="DRGLCRA LX Equity"/>
    <x v="65"/>
    <x v="3"/>
    <x v="17"/>
    <x v="0"/>
    <x v="0"/>
  </r>
  <r>
    <s v="LU1901202363"/>
    <x v="49"/>
    <n v="25"/>
    <x v="2"/>
    <x v="44"/>
    <x v="2"/>
    <x v="0"/>
    <s v="DRGLCRA LX Equity"/>
    <x v="65"/>
    <x v="3"/>
    <x v="17"/>
    <x v="0"/>
    <x v="0"/>
  </r>
  <r>
    <s v="LU1901202363"/>
    <x v="50"/>
    <n v="16"/>
    <x v="2"/>
    <x v="45"/>
    <x v="2"/>
    <x v="0"/>
    <s v="DRGLCRA LX Equity"/>
    <x v="65"/>
    <x v="3"/>
    <x v="17"/>
    <x v="0"/>
    <x v="0"/>
  </r>
  <r>
    <s v="LU1901202363"/>
    <x v="51"/>
    <n v="31"/>
    <x v="2"/>
    <x v="46"/>
    <x v="2"/>
    <x v="4"/>
    <s v="DRGLCRA LX Equity"/>
    <x v="65"/>
    <x v="3"/>
    <x v="17"/>
    <x v="0"/>
    <x v="0"/>
  </r>
  <r>
    <s v="LU1901202363"/>
    <x v="52"/>
    <n v="25"/>
    <x v="2"/>
    <x v="47"/>
    <x v="2"/>
    <x v="4"/>
    <s v="DRGLCRA LX Equity"/>
    <x v="65"/>
    <x v="3"/>
    <x v="17"/>
    <x v="0"/>
    <x v="0"/>
  </r>
  <r>
    <s v="LU1901202363"/>
    <x v="53"/>
    <n v="48"/>
    <x v="2"/>
    <x v="48"/>
    <x v="2"/>
    <x v="5"/>
    <s v="DRGLCRA LX Equity"/>
    <x v="65"/>
    <x v="3"/>
    <x v="17"/>
    <x v="0"/>
    <x v="0"/>
  </r>
  <r>
    <s v="LU1901202363"/>
    <x v="54"/>
    <n v="32"/>
    <x v="2"/>
    <x v="49"/>
    <x v="2"/>
    <x v="5"/>
    <s v="DRGLCRA LX Equity"/>
    <x v="65"/>
    <x v="3"/>
    <x v="17"/>
    <x v="0"/>
    <x v="0"/>
  </r>
  <r>
    <s v="LU1901202363"/>
    <x v="55"/>
    <n v="8"/>
    <x v="2"/>
    <x v="50"/>
    <x v="3"/>
    <x v="2"/>
    <s v="DRGLCRA LX Equity"/>
    <x v="65"/>
    <x v="3"/>
    <x v="17"/>
    <x v="0"/>
    <x v="0"/>
  </r>
  <r>
    <s v="LU1901202363"/>
    <x v="56"/>
    <n v="8"/>
    <x v="2"/>
    <x v="51"/>
    <x v="3"/>
    <x v="2"/>
    <s v="DRGLCRA LX Equity"/>
    <x v="65"/>
    <x v="3"/>
    <x v="17"/>
    <x v="0"/>
    <x v="0"/>
  </r>
  <r>
    <s v="LU1901202363"/>
    <x v="57"/>
    <n v="25"/>
    <x v="2"/>
    <x v="52"/>
    <x v="3"/>
    <x v="0"/>
    <s v="DRGLCRA LX Equity"/>
    <x v="65"/>
    <x v="3"/>
    <x v="17"/>
    <x v="0"/>
    <x v="0"/>
  </r>
  <r>
    <s v="LU1901202363"/>
    <x v="58"/>
    <n v="16"/>
    <x v="2"/>
    <x v="53"/>
    <x v="3"/>
    <x v="0"/>
    <s v="DRGLCRA LX Equity"/>
    <x v="65"/>
    <x v="3"/>
    <x v="17"/>
    <x v="0"/>
    <x v="0"/>
  </r>
  <r>
    <s v="LU1901202363"/>
    <x v="59"/>
    <n v="31"/>
    <x v="2"/>
    <x v="54"/>
    <x v="3"/>
    <x v="4"/>
    <s v="DRGLCRA LX Equity"/>
    <x v="65"/>
    <x v="3"/>
    <x v="17"/>
    <x v="0"/>
    <x v="0"/>
  </r>
  <r>
    <s v="LU1901202363"/>
    <x v="60"/>
    <n v="25"/>
    <x v="2"/>
    <x v="55"/>
    <x v="3"/>
    <x v="4"/>
    <s v="DRGLCRA LX Equity"/>
    <x v="65"/>
    <x v="3"/>
    <x v="17"/>
    <x v="0"/>
    <x v="0"/>
  </r>
  <r>
    <s v="LU1901202363"/>
    <x v="61"/>
    <n v="48"/>
    <x v="2"/>
    <x v="56"/>
    <x v="3"/>
    <x v="5"/>
    <s v="DRGLCRA LX Equity"/>
    <x v="65"/>
    <x v="3"/>
    <x v="17"/>
    <x v="0"/>
    <x v="0"/>
  </r>
  <r>
    <s v="LU1901202363"/>
    <x v="62"/>
    <n v="32"/>
    <x v="2"/>
    <x v="57"/>
    <x v="3"/>
    <x v="5"/>
    <s v="DRGLCRA LX Equity"/>
    <x v="65"/>
    <x v="3"/>
    <x v="17"/>
    <x v="0"/>
    <x v="0"/>
  </r>
  <r>
    <s v="US4642872349"/>
    <x v="31"/>
    <n v="5"/>
    <x v="2"/>
    <x v="26"/>
    <x v="1"/>
    <x v="2"/>
    <s v="EEM US Equity"/>
    <x v="94"/>
    <x v="0"/>
    <x v="21"/>
    <x v="3"/>
    <x v="0"/>
  </r>
  <r>
    <s v="US4642872349"/>
    <x v="32"/>
    <n v="4"/>
    <x v="2"/>
    <x v="27"/>
    <x v="1"/>
    <x v="2"/>
    <s v="EEM US Equity"/>
    <x v="94"/>
    <x v="0"/>
    <x v="21"/>
    <x v="3"/>
    <x v="0"/>
  </r>
  <r>
    <s v="US4642872349"/>
    <x v="33"/>
    <n v="4"/>
    <x v="2"/>
    <x v="28"/>
    <x v="1"/>
    <x v="0"/>
    <s v="EEM US Equity"/>
    <x v="94"/>
    <x v="0"/>
    <x v="21"/>
    <x v="3"/>
    <x v="0"/>
  </r>
  <r>
    <s v="US4642872349"/>
    <x v="34"/>
    <n v="3"/>
    <x v="2"/>
    <x v="29"/>
    <x v="1"/>
    <x v="0"/>
    <s v="EEM US Equity"/>
    <x v="94"/>
    <x v="0"/>
    <x v="21"/>
    <x v="3"/>
    <x v="0"/>
  </r>
  <r>
    <s v="US4642872349"/>
    <x v="35"/>
    <n v="3"/>
    <x v="2"/>
    <x v="30"/>
    <x v="1"/>
    <x v="4"/>
    <s v="EEM US Equity"/>
    <x v="94"/>
    <x v="0"/>
    <x v="21"/>
    <x v="3"/>
    <x v="0"/>
  </r>
  <r>
    <s v="US4642872349"/>
    <x v="36"/>
    <n v="3"/>
    <x v="2"/>
    <x v="31"/>
    <x v="1"/>
    <x v="4"/>
    <s v="EEM US Equity"/>
    <x v="94"/>
    <x v="0"/>
    <x v="21"/>
    <x v="3"/>
    <x v="0"/>
  </r>
  <r>
    <s v="US4642872349"/>
    <x v="37"/>
    <n v="2"/>
    <x v="2"/>
    <x v="32"/>
    <x v="1"/>
    <x v="5"/>
    <s v="EEM US Equity"/>
    <x v="94"/>
    <x v="0"/>
    <x v="21"/>
    <x v="3"/>
    <x v="0"/>
  </r>
  <r>
    <s v="US4642872349"/>
    <x v="38"/>
    <n v="2"/>
    <x v="2"/>
    <x v="33"/>
    <x v="1"/>
    <x v="5"/>
    <s v="EEM US Equity"/>
    <x v="94"/>
    <x v="0"/>
    <x v="21"/>
    <x v="3"/>
    <x v="0"/>
  </r>
  <r>
    <s v="US4642872349"/>
    <x v="39"/>
    <n v="5"/>
    <x v="2"/>
    <x v="34"/>
    <x v="0"/>
    <x v="2"/>
    <s v="EEM US Equity"/>
    <x v="94"/>
    <x v="0"/>
    <x v="21"/>
    <x v="3"/>
    <x v="0"/>
  </r>
  <r>
    <s v="US4642872349"/>
    <x v="40"/>
    <n v="4"/>
    <x v="2"/>
    <x v="35"/>
    <x v="0"/>
    <x v="2"/>
    <s v="EEM US Equity"/>
    <x v="94"/>
    <x v="0"/>
    <x v="21"/>
    <x v="3"/>
    <x v="0"/>
  </r>
  <r>
    <s v="US4642872349"/>
    <x v="41"/>
    <n v="4"/>
    <x v="2"/>
    <x v="36"/>
    <x v="0"/>
    <x v="0"/>
    <s v="EEM US Equity"/>
    <x v="94"/>
    <x v="0"/>
    <x v="21"/>
    <x v="3"/>
    <x v="0"/>
  </r>
  <r>
    <s v="US4642872349"/>
    <x v="42"/>
    <n v="3"/>
    <x v="2"/>
    <x v="37"/>
    <x v="0"/>
    <x v="0"/>
    <s v="EEM US Equity"/>
    <x v="94"/>
    <x v="0"/>
    <x v="21"/>
    <x v="3"/>
    <x v="0"/>
  </r>
  <r>
    <s v="US4642872349"/>
    <x v="43"/>
    <n v="3"/>
    <x v="2"/>
    <x v="38"/>
    <x v="0"/>
    <x v="4"/>
    <s v="EEM US Equity"/>
    <x v="94"/>
    <x v="0"/>
    <x v="21"/>
    <x v="3"/>
    <x v="0"/>
  </r>
  <r>
    <s v="US4642872349"/>
    <x v="44"/>
    <n v="3"/>
    <x v="2"/>
    <x v="39"/>
    <x v="0"/>
    <x v="4"/>
    <s v="EEM US Equity"/>
    <x v="94"/>
    <x v="0"/>
    <x v="21"/>
    <x v="3"/>
    <x v="0"/>
  </r>
  <r>
    <s v="US4642872349"/>
    <x v="45"/>
    <n v="2"/>
    <x v="2"/>
    <x v="40"/>
    <x v="0"/>
    <x v="5"/>
    <s v="EEM US Equity"/>
    <x v="94"/>
    <x v="0"/>
    <x v="21"/>
    <x v="3"/>
    <x v="0"/>
  </r>
  <r>
    <s v="US4642872349"/>
    <x v="46"/>
    <n v="2"/>
    <x v="2"/>
    <x v="41"/>
    <x v="0"/>
    <x v="5"/>
    <s v="EEM US Equity"/>
    <x v="94"/>
    <x v="0"/>
    <x v="21"/>
    <x v="3"/>
    <x v="0"/>
  </r>
  <r>
    <s v="US4642872349"/>
    <x v="47"/>
    <n v="5"/>
    <x v="2"/>
    <x v="42"/>
    <x v="2"/>
    <x v="2"/>
    <s v="EEM US Equity"/>
    <x v="94"/>
    <x v="0"/>
    <x v="21"/>
    <x v="3"/>
    <x v="0"/>
  </r>
  <r>
    <s v="US4642872349"/>
    <x v="48"/>
    <n v="4"/>
    <x v="2"/>
    <x v="43"/>
    <x v="2"/>
    <x v="2"/>
    <s v="EEM US Equity"/>
    <x v="94"/>
    <x v="0"/>
    <x v="21"/>
    <x v="3"/>
    <x v="0"/>
  </r>
  <r>
    <s v="US4642872349"/>
    <x v="49"/>
    <n v="4"/>
    <x v="2"/>
    <x v="44"/>
    <x v="2"/>
    <x v="0"/>
    <s v="EEM US Equity"/>
    <x v="94"/>
    <x v="0"/>
    <x v="21"/>
    <x v="3"/>
    <x v="0"/>
  </r>
  <r>
    <s v="US4642872349"/>
    <x v="50"/>
    <n v="3"/>
    <x v="2"/>
    <x v="45"/>
    <x v="2"/>
    <x v="0"/>
    <s v="EEM US Equity"/>
    <x v="94"/>
    <x v="0"/>
    <x v="21"/>
    <x v="3"/>
    <x v="0"/>
  </r>
  <r>
    <s v="US4642872349"/>
    <x v="51"/>
    <n v="3"/>
    <x v="2"/>
    <x v="46"/>
    <x v="2"/>
    <x v="4"/>
    <s v="EEM US Equity"/>
    <x v="94"/>
    <x v="0"/>
    <x v="21"/>
    <x v="3"/>
    <x v="0"/>
  </r>
  <r>
    <s v="US4642872349"/>
    <x v="52"/>
    <n v="3"/>
    <x v="2"/>
    <x v="47"/>
    <x v="2"/>
    <x v="4"/>
    <s v="EEM US Equity"/>
    <x v="94"/>
    <x v="0"/>
    <x v="21"/>
    <x v="3"/>
    <x v="0"/>
  </r>
  <r>
    <s v="US4642872349"/>
    <x v="53"/>
    <n v="2"/>
    <x v="2"/>
    <x v="48"/>
    <x v="2"/>
    <x v="5"/>
    <s v="EEM US Equity"/>
    <x v="94"/>
    <x v="0"/>
    <x v="21"/>
    <x v="3"/>
    <x v="0"/>
  </r>
  <r>
    <s v="US4642872349"/>
    <x v="54"/>
    <n v="2"/>
    <x v="2"/>
    <x v="49"/>
    <x v="2"/>
    <x v="5"/>
    <s v="EEM US Equity"/>
    <x v="94"/>
    <x v="0"/>
    <x v="21"/>
    <x v="3"/>
    <x v="0"/>
  </r>
  <r>
    <s v="US4642872349"/>
    <x v="55"/>
    <n v="5"/>
    <x v="2"/>
    <x v="50"/>
    <x v="3"/>
    <x v="2"/>
    <s v="EEM US Equity"/>
    <x v="94"/>
    <x v="0"/>
    <x v="21"/>
    <x v="3"/>
    <x v="0"/>
  </r>
  <r>
    <s v="US4642872349"/>
    <x v="56"/>
    <n v="4"/>
    <x v="2"/>
    <x v="51"/>
    <x v="3"/>
    <x v="2"/>
    <s v="EEM US Equity"/>
    <x v="94"/>
    <x v="0"/>
    <x v="21"/>
    <x v="3"/>
    <x v="0"/>
  </r>
  <r>
    <s v="US4642872349"/>
    <x v="57"/>
    <n v="4"/>
    <x v="2"/>
    <x v="52"/>
    <x v="3"/>
    <x v="0"/>
    <s v="EEM US Equity"/>
    <x v="94"/>
    <x v="0"/>
    <x v="21"/>
    <x v="3"/>
    <x v="0"/>
  </r>
  <r>
    <s v="US4642872349"/>
    <x v="58"/>
    <n v="3"/>
    <x v="2"/>
    <x v="53"/>
    <x v="3"/>
    <x v="0"/>
    <s v="EEM US Equity"/>
    <x v="94"/>
    <x v="0"/>
    <x v="21"/>
    <x v="3"/>
    <x v="0"/>
  </r>
  <r>
    <s v="US4642872349"/>
    <x v="59"/>
    <n v="3"/>
    <x v="2"/>
    <x v="54"/>
    <x v="3"/>
    <x v="4"/>
    <s v="EEM US Equity"/>
    <x v="94"/>
    <x v="0"/>
    <x v="21"/>
    <x v="3"/>
    <x v="0"/>
  </r>
  <r>
    <s v="US4642872349"/>
    <x v="60"/>
    <n v="3"/>
    <x v="2"/>
    <x v="55"/>
    <x v="3"/>
    <x v="4"/>
    <s v="EEM US Equity"/>
    <x v="94"/>
    <x v="0"/>
    <x v="21"/>
    <x v="3"/>
    <x v="0"/>
  </r>
  <r>
    <s v="US4642872349"/>
    <x v="61"/>
    <n v="2"/>
    <x v="2"/>
    <x v="56"/>
    <x v="3"/>
    <x v="5"/>
    <s v="EEM US Equity"/>
    <x v="94"/>
    <x v="0"/>
    <x v="21"/>
    <x v="3"/>
    <x v="0"/>
  </r>
  <r>
    <s v="US4642872349"/>
    <x v="62"/>
    <n v="2"/>
    <x v="2"/>
    <x v="57"/>
    <x v="3"/>
    <x v="5"/>
    <s v="EEM US Equity"/>
    <x v="94"/>
    <x v="0"/>
    <x v="21"/>
    <x v="3"/>
    <x v="0"/>
  </r>
  <r>
    <s v="LU1693257310"/>
    <x v="31"/>
    <n v="0"/>
    <x v="2"/>
    <x v="26"/>
    <x v="1"/>
    <x v="2"/>
    <s v="ESLDILA LX Equity"/>
    <x v="63"/>
    <x v="1"/>
    <x v="15"/>
    <x v="0"/>
    <x v="0"/>
  </r>
  <r>
    <s v="LU1693257310"/>
    <x v="32"/>
    <n v="0"/>
    <x v="2"/>
    <x v="27"/>
    <x v="1"/>
    <x v="2"/>
    <s v="ESLDILA LX Equity"/>
    <x v="63"/>
    <x v="1"/>
    <x v="15"/>
    <x v="0"/>
    <x v="0"/>
  </r>
  <r>
    <s v="LU1693257310"/>
    <x v="33"/>
    <n v="3"/>
    <x v="2"/>
    <x v="28"/>
    <x v="1"/>
    <x v="0"/>
    <s v="ESLDILA LX Equity"/>
    <x v="63"/>
    <x v="1"/>
    <x v="15"/>
    <x v="0"/>
    <x v="0"/>
  </r>
  <r>
    <s v="LU1693257310"/>
    <x v="34"/>
    <n v="3"/>
    <x v="2"/>
    <x v="29"/>
    <x v="1"/>
    <x v="0"/>
    <s v="ESLDILA LX Equity"/>
    <x v="63"/>
    <x v="1"/>
    <x v="15"/>
    <x v="0"/>
    <x v="0"/>
  </r>
  <r>
    <s v="LU1693257310"/>
    <x v="35"/>
    <n v="3"/>
    <x v="2"/>
    <x v="30"/>
    <x v="1"/>
    <x v="4"/>
    <s v="ESLDILA LX Equity"/>
    <x v="63"/>
    <x v="1"/>
    <x v="15"/>
    <x v="0"/>
    <x v="0"/>
  </r>
  <r>
    <s v="LU1693257310"/>
    <x v="36"/>
    <n v="3"/>
    <x v="2"/>
    <x v="31"/>
    <x v="1"/>
    <x v="4"/>
    <s v="ESLDILA LX Equity"/>
    <x v="63"/>
    <x v="1"/>
    <x v="15"/>
    <x v="0"/>
    <x v="0"/>
  </r>
  <r>
    <s v="LU1693257310"/>
    <x v="37"/>
    <n v="3"/>
    <x v="2"/>
    <x v="32"/>
    <x v="1"/>
    <x v="5"/>
    <s v="ESLDILA LX Equity"/>
    <x v="63"/>
    <x v="1"/>
    <x v="15"/>
    <x v="0"/>
    <x v="0"/>
  </r>
  <r>
    <s v="LU1693257310"/>
    <x v="38"/>
    <n v="4"/>
    <x v="2"/>
    <x v="33"/>
    <x v="1"/>
    <x v="5"/>
    <s v="ESLDILA LX Equity"/>
    <x v="63"/>
    <x v="1"/>
    <x v="15"/>
    <x v="0"/>
    <x v="0"/>
  </r>
  <r>
    <s v="LU1693257310"/>
    <x v="39"/>
    <n v="0"/>
    <x v="2"/>
    <x v="34"/>
    <x v="0"/>
    <x v="2"/>
    <s v="ESLDILA LX Equity"/>
    <x v="63"/>
    <x v="1"/>
    <x v="15"/>
    <x v="0"/>
    <x v="0"/>
  </r>
  <r>
    <s v="LU1693257310"/>
    <x v="40"/>
    <n v="0"/>
    <x v="2"/>
    <x v="35"/>
    <x v="0"/>
    <x v="2"/>
    <s v="ESLDILA LX Equity"/>
    <x v="63"/>
    <x v="1"/>
    <x v="15"/>
    <x v="0"/>
    <x v="0"/>
  </r>
  <r>
    <s v="LU1693257310"/>
    <x v="41"/>
    <n v="3"/>
    <x v="2"/>
    <x v="36"/>
    <x v="0"/>
    <x v="0"/>
    <s v="ESLDILA LX Equity"/>
    <x v="63"/>
    <x v="1"/>
    <x v="15"/>
    <x v="0"/>
    <x v="0"/>
  </r>
  <r>
    <s v="LU1693257310"/>
    <x v="42"/>
    <n v="3"/>
    <x v="2"/>
    <x v="37"/>
    <x v="0"/>
    <x v="0"/>
    <s v="ESLDILA LX Equity"/>
    <x v="63"/>
    <x v="1"/>
    <x v="15"/>
    <x v="0"/>
    <x v="0"/>
  </r>
  <r>
    <s v="LU1693257310"/>
    <x v="43"/>
    <n v="3"/>
    <x v="2"/>
    <x v="38"/>
    <x v="0"/>
    <x v="4"/>
    <s v="ESLDILA LX Equity"/>
    <x v="63"/>
    <x v="1"/>
    <x v="15"/>
    <x v="0"/>
    <x v="0"/>
  </r>
  <r>
    <s v="LU1693257310"/>
    <x v="44"/>
    <n v="3"/>
    <x v="2"/>
    <x v="39"/>
    <x v="0"/>
    <x v="4"/>
    <s v="ESLDILA LX Equity"/>
    <x v="63"/>
    <x v="1"/>
    <x v="15"/>
    <x v="0"/>
    <x v="0"/>
  </r>
  <r>
    <s v="LU1693257310"/>
    <x v="45"/>
    <n v="3"/>
    <x v="2"/>
    <x v="40"/>
    <x v="0"/>
    <x v="5"/>
    <s v="ESLDILA LX Equity"/>
    <x v="63"/>
    <x v="1"/>
    <x v="15"/>
    <x v="0"/>
    <x v="0"/>
  </r>
  <r>
    <s v="LU1693257310"/>
    <x v="46"/>
    <n v="4"/>
    <x v="2"/>
    <x v="41"/>
    <x v="0"/>
    <x v="5"/>
    <s v="ESLDILA LX Equity"/>
    <x v="63"/>
    <x v="1"/>
    <x v="15"/>
    <x v="0"/>
    <x v="0"/>
  </r>
  <r>
    <s v="LU1693257310"/>
    <x v="47"/>
    <n v="0"/>
    <x v="2"/>
    <x v="42"/>
    <x v="2"/>
    <x v="2"/>
    <s v="ESLDILA LX Equity"/>
    <x v="63"/>
    <x v="1"/>
    <x v="15"/>
    <x v="0"/>
    <x v="0"/>
  </r>
  <r>
    <s v="LU1693257310"/>
    <x v="48"/>
    <n v="0"/>
    <x v="2"/>
    <x v="43"/>
    <x v="2"/>
    <x v="2"/>
    <s v="ESLDILA LX Equity"/>
    <x v="63"/>
    <x v="1"/>
    <x v="15"/>
    <x v="0"/>
    <x v="0"/>
  </r>
  <r>
    <s v="LU1693257310"/>
    <x v="49"/>
    <n v="3"/>
    <x v="2"/>
    <x v="44"/>
    <x v="2"/>
    <x v="0"/>
    <s v="ESLDILA LX Equity"/>
    <x v="63"/>
    <x v="1"/>
    <x v="15"/>
    <x v="0"/>
    <x v="0"/>
  </r>
  <r>
    <s v="LU1693257310"/>
    <x v="50"/>
    <n v="3"/>
    <x v="2"/>
    <x v="45"/>
    <x v="2"/>
    <x v="0"/>
    <s v="ESLDILA LX Equity"/>
    <x v="63"/>
    <x v="1"/>
    <x v="15"/>
    <x v="0"/>
    <x v="0"/>
  </r>
  <r>
    <s v="LU1693257310"/>
    <x v="51"/>
    <n v="3"/>
    <x v="2"/>
    <x v="46"/>
    <x v="2"/>
    <x v="4"/>
    <s v="ESLDILA LX Equity"/>
    <x v="63"/>
    <x v="1"/>
    <x v="15"/>
    <x v="0"/>
    <x v="0"/>
  </r>
  <r>
    <s v="LU1693257310"/>
    <x v="52"/>
    <n v="3"/>
    <x v="2"/>
    <x v="47"/>
    <x v="2"/>
    <x v="4"/>
    <s v="ESLDILA LX Equity"/>
    <x v="63"/>
    <x v="1"/>
    <x v="15"/>
    <x v="0"/>
    <x v="0"/>
  </r>
  <r>
    <s v="LU1693257310"/>
    <x v="53"/>
    <n v="3"/>
    <x v="2"/>
    <x v="48"/>
    <x v="2"/>
    <x v="5"/>
    <s v="ESLDILA LX Equity"/>
    <x v="63"/>
    <x v="1"/>
    <x v="15"/>
    <x v="0"/>
    <x v="0"/>
  </r>
  <r>
    <s v="LU1693257310"/>
    <x v="54"/>
    <n v="4"/>
    <x v="2"/>
    <x v="49"/>
    <x v="2"/>
    <x v="5"/>
    <s v="ESLDILA LX Equity"/>
    <x v="63"/>
    <x v="1"/>
    <x v="15"/>
    <x v="0"/>
    <x v="0"/>
  </r>
  <r>
    <s v="LU1693257310"/>
    <x v="55"/>
    <n v="0"/>
    <x v="2"/>
    <x v="50"/>
    <x v="3"/>
    <x v="2"/>
    <s v="ESLDILA LX Equity"/>
    <x v="63"/>
    <x v="1"/>
    <x v="15"/>
    <x v="0"/>
    <x v="0"/>
  </r>
  <r>
    <s v="LU1693257310"/>
    <x v="56"/>
    <n v="0"/>
    <x v="2"/>
    <x v="51"/>
    <x v="3"/>
    <x v="2"/>
    <s v="ESLDILA LX Equity"/>
    <x v="63"/>
    <x v="1"/>
    <x v="15"/>
    <x v="0"/>
    <x v="0"/>
  </r>
  <r>
    <s v="LU1693257310"/>
    <x v="57"/>
    <n v="3"/>
    <x v="2"/>
    <x v="52"/>
    <x v="3"/>
    <x v="0"/>
    <s v="ESLDILA LX Equity"/>
    <x v="63"/>
    <x v="1"/>
    <x v="15"/>
    <x v="0"/>
    <x v="0"/>
  </r>
  <r>
    <s v="LU1693257310"/>
    <x v="58"/>
    <n v="3"/>
    <x v="2"/>
    <x v="53"/>
    <x v="3"/>
    <x v="0"/>
    <s v="ESLDILA LX Equity"/>
    <x v="63"/>
    <x v="1"/>
    <x v="15"/>
    <x v="0"/>
    <x v="0"/>
  </r>
  <r>
    <s v="LU1693257310"/>
    <x v="59"/>
    <n v="3"/>
    <x v="2"/>
    <x v="54"/>
    <x v="3"/>
    <x v="4"/>
    <s v="ESLDILA LX Equity"/>
    <x v="63"/>
    <x v="1"/>
    <x v="15"/>
    <x v="0"/>
    <x v="0"/>
  </r>
  <r>
    <s v="LU1693257310"/>
    <x v="60"/>
    <n v="3"/>
    <x v="2"/>
    <x v="55"/>
    <x v="3"/>
    <x v="4"/>
    <s v="ESLDILA LX Equity"/>
    <x v="63"/>
    <x v="1"/>
    <x v="15"/>
    <x v="0"/>
    <x v="0"/>
  </r>
  <r>
    <s v="LU1693257310"/>
    <x v="61"/>
    <n v="3"/>
    <x v="2"/>
    <x v="56"/>
    <x v="3"/>
    <x v="5"/>
    <s v="ESLDILA LX Equity"/>
    <x v="63"/>
    <x v="1"/>
    <x v="15"/>
    <x v="0"/>
    <x v="0"/>
  </r>
  <r>
    <s v="LU1693257310"/>
    <x v="62"/>
    <n v="4"/>
    <x v="2"/>
    <x v="57"/>
    <x v="3"/>
    <x v="5"/>
    <s v="ESLDILA LX Equity"/>
    <x v="63"/>
    <x v="1"/>
    <x v="15"/>
    <x v="0"/>
    <x v="0"/>
  </r>
  <r>
    <s v=""/>
    <x v="31"/>
    <n v="-88"/>
    <x v="2"/>
    <x v="26"/>
    <x v="1"/>
    <x v="2"/>
    <s v="EUR/CHF 12/18/2019 Curncy"/>
    <x v="95"/>
    <x v="6"/>
    <x v="7"/>
    <x v="0"/>
    <x v="0"/>
  </r>
  <r>
    <s v=""/>
    <x v="32"/>
    <n v="-75"/>
    <x v="2"/>
    <x v="27"/>
    <x v="1"/>
    <x v="2"/>
    <s v="EUR/CHF 12/18/2019 Curncy"/>
    <x v="95"/>
    <x v="6"/>
    <x v="7"/>
    <x v="0"/>
    <x v="0"/>
  </r>
  <r>
    <s v=""/>
    <x v="33"/>
    <n v="-88"/>
    <x v="2"/>
    <x v="28"/>
    <x v="1"/>
    <x v="0"/>
    <s v="EUR/CHF 12/18/2019 Curncy"/>
    <x v="95"/>
    <x v="6"/>
    <x v="7"/>
    <x v="0"/>
    <x v="0"/>
  </r>
  <r>
    <s v=""/>
    <x v="34"/>
    <n v="-75"/>
    <x v="2"/>
    <x v="29"/>
    <x v="1"/>
    <x v="0"/>
    <s v="EUR/CHF 12/18/2019 Curncy"/>
    <x v="95"/>
    <x v="6"/>
    <x v="7"/>
    <x v="0"/>
    <x v="0"/>
  </r>
  <r>
    <s v=""/>
    <x v="35"/>
    <n v="-85"/>
    <x v="2"/>
    <x v="30"/>
    <x v="1"/>
    <x v="4"/>
    <s v="EUR/CHF 12/18/2019 Curncy"/>
    <x v="95"/>
    <x v="6"/>
    <x v="7"/>
    <x v="0"/>
    <x v="0"/>
  </r>
  <r>
    <s v=""/>
    <x v="36"/>
    <n v="-74"/>
    <x v="2"/>
    <x v="31"/>
    <x v="1"/>
    <x v="4"/>
    <s v="EUR/CHF 12/18/2019 Curncy"/>
    <x v="95"/>
    <x v="6"/>
    <x v="7"/>
    <x v="0"/>
    <x v="0"/>
  </r>
  <r>
    <s v=""/>
    <x v="37"/>
    <n v="-81"/>
    <x v="2"/>
    <x v="32"/>
    <x v="1"/>
    <x v="5"/>
    <s v="EUR/CHF 12/18/2019 Curncy"/>
    <x v="95"/>
    <x v="6"/>
    <x v="7"/>
    <x v="0"/>
    <x v="0"/>
  </r>
  <r>
    <s v=""/>
    <x v="38"/>
    <n v="-72"/>
    <x v="2"/>
    <x v="33"/>
    <x v="1"/>
    <x v="5"/>
    <s v="EUR/CHF 12/18/2019 Curncy"/>
    <x v="95"/>
    <x v="6"/>
    <x v="7"/>
    <x v="0"/>
    <x v="0"/>
  </r>
  <r>
    <s v=""/>
    <x v="47"/>
    <n v="-83"/>
    <x v="2"/>
    <x v="42"/>
    <x v="2"/>
    <x v="2"/>
    <s v="EUR/GBP 12/18/2019 Curncy"/>
    <x v="95"/>
    <x v="6"/>
    <x v="7"/>
    <x v="0"/>
    <x v="0"/>
  </r>
  <r>
    <s v=""/>
    <x v="48"/>
    <n v="-75"/>
    <x v="2"/>
    <x v="43"/>
    <x v="2"/>
    <x v="2"/>
    <s v="EUR/GBP 12/18/2019 Curncy"/>
    <x v="95"/>
    <x v="6"/>
    <x v="7"/>
    <x v="0"/>
    <x v="0"/>
  </r>
  <r>
    <s v=""/>
    <x v="49"/>
    <n v="-83"/>
    <x v="2"/>
    <x v="44"/>
    <x v="2"/>
    <x v="0"/>
    <s v="EUR/GBP 12/18/2019 Curncy"/>
    <x v="95"/>
    <x v="6"/>
    <x v="7"/>
    <x v="0"/>
    <x v="0"/>
  </r>
  <r>
    <s v=""/>
    <x v="50"/>
    <n v="-75"/>
    <x v="2"/>
    <x v="45"/>
    <x v="2"/>
    <x v="0"/>
    <s v="EUR/GBP 12/18/2019 Curncy"/>
    <x v="95"/>
    <x v="6"/>
    <x v="7"/>
    <x v="0"/>
    <x v="0"/>
  </r>
  <r>
    <s v=""/>
    <x v="51"/>
    <n v="-80"/>
    <x v="2"/>
    <x v="46"/>
    <x v="2"/>
    <x v="4"/>
    <s v="EUR/GBP 12/18/2019 Curncy"/>
    <x v="95"/>
    <x v="6"/>
    <x v="7"/>
    <x v="0"/>
    <x v="0"/>
  </r>
  <r>
    <s v=""/>
    <x v="52"/>
    <n v="-71"/>
    <x v="2"/>
    <x v="47"/>
    <x v="2"/>
    <x v="4"/>
    <s v="EUR/GBP 12/18/2019 Curncy"/>
    <x v="95"/>
    <x v="6"/>
    <x v="7"/>
    <x v="0"/>
    <x v="0"/>
  </r>
  <r>
    <s v=""/>
    <x v="53"/>
    <n v="-77"/>
    <x v="2"/>
    <x v="48"/>
    <x v="2"/>
    <x v="5"/>
    <s v="EUR/GBP 12/18/2019 Curncy"/>
    <x v="95"/>
    <x v="6"/>
    <x v="7"/>
    <x v="0"/>
    <x v="0"/>
  </r>
  <r>
    <s v=""/>
    <x v="54"/>
    <n v="-68"/>
    <x v="2"/>
    <x v="49"/>
    <x v="2"/>
    <x v="5"/>
    <s v="EUR/GBP 12/18/2019 Curncy"/>
    <x v="95"/>
    <x v="6"/>
    <x v="7"/>
    <x v="0"/>
    <x v="0"/>
  </r>
  <r>
    <s v=""/>
    <x v="55"/>
    <n v="-80"/>
    <x v="2"/>
    <x v="50"/>
    <x v="3"/>
    <x v="2"/>
    <s v="EUR/USD 12/18/2019 Curncy"/>
    <x v="95"/>
    <x v="6"/>
    <x v="7"/>
    <x v="0"/>
    <x v="0"/>
  </r>
  <r>
    <s v=""/>
    <x v="56"/>
    <n v="-63"/>
    <x v="2"/>
    <x v="51"/>
    <x v="3"/>
    <x v="2"/>
    <s v="EUR/USD 12/18/2019 Curncy"/>
    <x v="95"/>
    <x v="6"/>
    <x v="7"/>
    <x v="0"/>
    <x v="0"/>
  </r>
  <r>
    <s v=""/>
    <x v="57"/>
    <n v="-80"/>
    <x v="2"/>
    <x v="52"/>
    <x v="3"/>
    <x v="0"/>
    <s v="EUR/USD 12/18/2019 Curncy"/>
    <x v="95"/>
    <x v="6"/>
    <x v="7"/>
    <x v="0"/>
    <x v="0"/>
  </r>
  <r>
    <s v=""/>
    <x v="58"/>
    <n v="-63"/>
    <x v="2"/>
    <x v="53"/>
    <x v="3"/>
    <x v="0"/>
    <s v="EUR/USD 12/18/2019 Curncy"/>
    <x v="95"/>
    <x v="6"/>
    <x v="7"/>
    <x v="0"/>
    <x v="0"/>
  </r>
  <r>
    <s v=""/>
    <x v="59"/>
    <n v="-77"/>
    <x v="2"/>
    <x v="54"/>
    <x v="3"/>
    <x v="4"/>
    <s v="EUR/USD 12/18/2019 Curncy"/>
    <x v="95"/>
    <x v="6"/>
    <x v="7"/>
    <x v="0"/>
    <x v="0"/>
  </r>
  <r>
    <s v=""/>
    <x v="60"/>
    <n v="-60"/>
    <x v="2"/>
    <x v="55"/>
    <x v="3"/>
    <x v="4"/>
    <s v="EUR/USD 12/18/2019 Curncy"/>
    <x v="95"/>
    <x v="6"/>
    <x v="7"/>
    <x v="0"/>
    <x v="0"/>
  </r>
  <r>
    <s v=""/>
    <x v="61"/>
    <n v="-74"/>
    <x v="2"/>
    <x v="56"/>
    <x v="3"/>
    <x v="5"/>
    <s v="EUR/USD 12/18/2019 Curncy"/>
    <x v="95"/>
    <x v="6"/>
    <x v="7"/>
    <x v="0"/>
    <x v="0"/>
  </r>
  <r>
    <s v=""/>
    <x v="62"/>
    <n v="-59"/>
    <x v="2"/>
    <x v="57"/>
    <x v="3"/>
    <x v="5"/>
    <s v="EUR/USD 12/18/2019 Curncy"/>
    <x v="95"/>
    <x v="6"/>
    <x v="7"/>
    <x v="0"/>
    <x v="0"/>
  </r>
  <r>
    <s v="CH0469130410"/>
    <x v="31"/>
    <n v="3"/>
    <x v="2"/>
    <x v="26"/>
    <x v="1"/>
    <x v="2"/>
    <s v="EXANE 0 07/04/2022 Corp"/>
    <x v="22"/>
    <x v="3"/>
    <x v="6"/>
    <x v="0"/>
    <x v="5"/>
  </r>
  <r>
    <s v="CH0469130410"/>
    <x v="32"/>
    <n v="3"/>
    <x v="2"/>
    <x v="27"/>
    <x v="1"/>
    <x v="2"/>
    <s v="EXANE 0 07/04/2022 Corp"/>
    <x v="22"/>
    <x v="3"/>
    <x v="6"/>
    <x v="0"/>
    <x v="5"/>
  </r>
  <r>
    <s v="CH0469130410"/>
    <x v="33"/>
    <n v="3"/>
    <x v="2"/>
    <x v="28"/>
    <x v="1"/>
    <x v="0"/>
    <s v="EXANE 0 07/04/2022 Corp"/>
    <x v="22"/>
    <x v="3"/>
    <x v="6"/>
    <x v="0"/>
    <x v="5"/>
  </r>
  <r>
    <s v="CH0469130410"/>
    <x v="34"/>
    <n v="3"/>
    <x v="2"/>
    <x v="29"/>
    <x v="1"/>
    <x v="0"/>
    <s v="EXANE 0 07/04/2022 Corp"/>
    <x v="22"/>
    <x v="3"/>
    <x v="6"/>
    <x v="0"/>
    <x v="5"/>
  </r>
  <r>
    <s v="CH0469130410"/>
    <x v="35"/>
    <n v="3"/>
    <x v="2"/>
    <x v="30"/>
    <x v="1"/>
    <x v="4"/>
    <s v="EXANE 0 07/04/2022 Corp"/>
    <x v="22"/>
    <x v="3"/>
    <x v="6"/>
    <x v="0"/>
    <x v="5"/>
  </r>
  <r>
    <s v="CH0469130410"/>
    <x v="36"/>
    <n v="3"/>
    <x v="2"/>
    <x v="31"/>
    <x v="1"/>
    <x v="4"/>
    <s v="EXANE 0 07/04/2022 Corp"/>
    <x v="22"/>
    <x v="3"/>
    <x v="6"/>
    <x v="0"/>
    <x v="5"/>
  </r>
  <r>
    <s v="CH0469130410"/>
    <x v="37"/>
    <n v="0"/>
    <x v="2"/>
    <x v="32"/>
    <x v="1"/>
    <x v="5"/>
    <s v="EXANE 0 07/04/2022 Corp"/>
    <x v="22"/>
    <x v="3"/>
    <x v="6"/>
    <x v="0"/>
    <x v="5"/>
  </r>
  <r>
    <s v="CH0469130410"/>
    <x v="38"/>
    <n v="0"/>
    <x v="2"/>
    <x v="33"/>
    <x v="1"/>
    <x v="5"/>
    <s v="EXANE 0 07/04/2022 Corp"/>
    <x v="22"/>
    <x v="3"/>
    <x v="6"/>
    <x v="0"/>
    <x v="5"/>
  </r>
  <r>
    <s v="CH0469130410"/>
    <x v="39"/>
    <n v="3"/>
    <x v="2"/>
    <x v="34"/>
    <x v="0"/>
    <x v="2"/>
    <s v="EXANE 0 07/04/2022 Corp"/>
    <x v="22"/>
    <x v="3"/>
    <x v="6"/>
    <x v="0"/>
    <x v="5"/>
  </r>
  <r>
    <s v="CH0469130410"/>
    <x v="40"/>
    <n v="3"/>
    <x v="2"/>
    <x v="35"/>
    <x v="0"/>
    <x v="2"/>
    <s v="EXANE 0 07/04/2022 Corp"/>
    <x v="22"/>
    <x v="3"/>
    <x v="6"/>
    <x v="0"/>
    <x v="5"/>
  </r>
  <r>
    <s v="CH0469130410"/>
    <x v="41"/>
    <n v="3"/>
    <x v="2"/>
    <x v="36"/>
    <x v="0"/>
    <x v="0"/>
    <s v="EXANE 0 07/04/2022 Corp"/>
    <x v="22"/>
    <x v="3"/>
    <x v="6"/>
    <x v="0"/>
    <x v="5"/>
  </r>
  <r>
    <s v="CH0469130410"/>
    <x v="42"/>
    <n v="3"/>
    <x v="2"/>
    <x v="37"/>
    <x v="0"/>
    <x v="0"/>
    <s v="EXANE 0 07/04/2022 Corp"/>
    <x v="22"/>
    <x v="3"/>
    <x v="6"/>
    <x v="0"/>
    <x v="5"/>
  </r>
  <r>
    <s v="CH0469130410"/>
    <x v="43"/>
    <n v="3"/>
    <x v="2"/>
    <x v="38"/>
    <x v="0"/>
    <x v="4"/>
    <s v="EXANE 0 07/04/2022 Corp"/>
    <x v="22"/>
    <x v="3"/>
    <x v="6"/>
    <x v="0"/>
    <x v="5"/>
  </r>
  <r>
    <s v="CH0469130410"/>
    <x v="44"/>
    <n v="3"/>
    <x v="2"/>
    <x v="39"/>
    <x v="0"/>
    <x v="4"/>
    <s v="EXANE 0 07/04/2022 Corp"/>
    <x v="22"/>
    <x v="3"/>
    <x v="6"/>
    <x v="0"/>
    <x v="5"/>
  </r>
  <r>
    <s v="CH0469130410"/>
    <x v="45"/>
    <n v="0"/>
    <x v="2"/>
    <x v="40"/>
    <x v="0"/>
    <x v="5"/>
    <s v="EXANE 0 07/04/2022 Corp"/>
    <x v="22"/>
    <x v="3"/>
    <x v="6"/>
    <x v="0"/>
    <x v="5"/>
  </r>
  <r>
    <s v="CH0469130410"/>
    <x v="46"/>
    <n v="0"/>
    <x v="2"/>
    <x v="41"/>
    <x v="0"/>
    <x v="5"/>
    <s v="EXANE 0 07/04/2022 Corp"/>
    <x v="22"/>
    <x v="3"/>
    <x v="6"/>
    <x v="0"/>
    <x v="5"/>
  </r>
  <r>
    <s v="CH0469130410"/>
    <x v="47"/>
    <n v="3"/>
    <x v="2"/>
    <x v="42"/>
    <x v="2"/>
    <x v="2"/>
    <s v="EXANE 0 07/04/2022 Corp"/>
    <x v="22"/>
    <x v="3"/>
    <x v="6"/>
    <x v="0"/>
    <x v="5"/>
  </r>
  <r>
    <s v="CH0469130410"/>
    <x v="48"/>
    <n v="3"/>
    <x v="2"/>
    <x v="43"/>
    <x v="2"/>
    <x v="2"/>
    <s v="EXANE 0 07/04/2022 Corp"/>
    <x v="22"/>
    <x v="3"/>
    <x v="6"/>
    <x v="0"/>
    <x v="5"/>
  </r>
  <r>
    <s v="CH0469130410"/>
    <x v="49"/>
    <n v="3"/>
    <x v="2"/>
    <x v="44"/>
    <x v="2"/>
    <x v="0"/>
    <s v="EXANE 0 07/04/2022 Corp"/>
    <x v="22"/>
    <x v="3"/>
    <x v="6"/>
    <x v="0"/>
    <x v="5"/>
  </r>
  <r>
    <s v="CH0469130410"/>
    <x v="50"/>
    <n v="3"/>
    <x v="2"/>
    <x v="45"/>
    <x v="2"/>
    <x v="0"/>
    <s v="EXANE 0 07/04/2022 Corp"/>
    <x v="22"/>
    <x v="3"/>
    <x v="6"/>
    <x v="0"/>
    <x v="5"/>
  </r>
  <r>
    <s v="CH0469130410"/>
    <x v="51"/>
    <n v="3"/>
    <x v="2"/>
    <x v="46"/>
    <x v="2"/>
    <x v="4"/>
    <s v="EXANE 0 07/04/2022 Corp"/>
    <x v="22"/>
    <x v="3"/>
    <x v="6"/>
    <x v="0"/>
    <x v="5"/>
  </r>
  <r>
    <s v="CH0469130410"/>
    <x v="52"/>
    <n v="3"/>
    <x v="2"/>
    <x v="47"/>
    <x v="2"/>
    <x v="4"/>
    <s v="EXANE 0 07/04/2022 Corp"/>
    <x v="22"/>
    <x v="3"/>
    <x v="6"/>
    <x v="0"/>
    <x v="5"/>
  </r>
  <r>
    <s v="CH0469130410"/>
    <x v="53"/>
    <n v="0"/>
    <x v="2"/>
    <x v="48"/>
    <x v="2"/>
    <x v="5"/>
    <s v="EXANE 0 07/04/2022 Corp"/>
    <x v="22"/>
    <x v="3"/>
    <x v="6"/>
    <x v="0"/>
    <x v="5"/>
  </r>
  <r>
    <s v="CH0469130410"/>
    <x v="54"/>
    <n v="0"/>
    <x v="2"/>
    <x v="49"/>
    <x v="2"/>
    <x v="5"/>
    <s v="EXANE 0 07/04/2022 Corp"/>
    <x v="22"/>
    <x v="3"/>
    <x v="6"/>
    <x v="0"/>
    <x v="5"/>
  </r>
  <r>
    <s v="CH0469130410"/>
    <x v="55"/>
    <n v="3"/>
    <x v="2"/>
    <x v="50"/>
    <x v="3"/>
    <x v="2"/>
    <s v="EXANE 0 07/04/2022 Corp"/>
    <x v="22"/>
    <x v="3"/>
    <x v="6"/>
    <x v="0"/>
    <x v="5"/>
  </r>
  <r>
    <s v="CH0469130410"/>
    <x v="56"/>
    <n v="3"/>
    <x v="2"/>
    <x v="51"/>
    <x v="3"/>
    <x v="2"/>
    <s v="EXANE 0 07/04/2022 Corp"/>
    <x v="22"/>
    <x v="3"/>
    <x v="6"/>
    <x v="0"/>
    <x v="5"/>
  </r>
  <r>
    <s v="CH0469130410"/>
    <x v="57"/>
    <n v="3"/>
    <x v="2"/>
    <x v="52"/>
    <x v="3"/>
    <x v="0"/>
    <s v="EXANE 0 07/04/2022 Corp"/>
    <x v="22"/>
    <x v="3"/>
    <x v="6"/>
    <x v="0"/>
    <x v="5"/>
  </r>
  <r>
    <s v="CH0469130410"/>
    <x v="58"/>
    <n v="3"/>
    <x v="2"/>
    <x v="53"/>
    <x v="3"/>
    <x v="0"/>
    <s v="EXANE 0 07/04/2022 Corp"/>
    <x v="22"/>
    <x v="3"/>
    <x v="6"/>
    <x v="0"/>
    <x v="5"/>
  </r>
  <r>
    <s v="CH0469130410"/>
    <x v="59"/>
    <n v="3"/>
    <x v="2"/>
    <x v="54"/>
    <x v="3"/>
    <x v="4"/>
    <s v="EXANE 0 07/04/2022 Corp"/>
    <x v="22"/>
    <x v="3"/>
    <x v="6"/>
    <x v="0"/>
    <x v="5"/>
  </r>
  <r>
    <s v="CH0469130410"/>
    <x v="60"/>
    <n v="3"/>
    <x v="2"/>
    <x v="55"/>
    <x v="3"/>
    <x v="4"/>
    <s v="EXANE 0 07/04/2022 Corp"/>
    <x v="22"/>
    <x v="3"/>
    <x v="6"/>
    <x v="0"/>
    <x v="5"/>
  </r>
  <r>
    <s v="CH0469130410"/>
    <x v="61"/>
    <n v="0"/>
    <x v="2"/>
    <x v="56"/>
    <x v="3"/>
    <x v="5"/>
    <s v="EXANE 0 07/04/2022 Corp"/>
    <x v="22"/>
    <x v="3"/>
    <x v="6"/>
    <x v="0"/>
    <x v="5"/>
  </r>
  <r>
    <s v="CH0469130410"/>
    <x v="62"/>
    <n v="0"/>
    <x v="2"/>
    <x v="57"/>
    <x v="3"/>
    <x v="5"/>
    <s v="EXANE 0 07/04/2022 Corp"/>
    <x v="22"/>
    <x v="3"/>
    <x v="6"/>
    <x v="0"/>
    <x v="5"/>
  </r>
  <r>
    <s v="CH0413289155"/>
    <x v="31"/>
    <n v="3"/>
    <x v="2"/>
    <x v="26"/>
    <x v="1"/>
    <x v="2"/>
    <s v="EXANE 0 10/22/2021 Corp"/>
    <x v="20"/>
    <x v="1"/>
    <x v="5"/>
    <x v="0"/>
    <x v="4"/>
  </r>
  <r>
    <s v="CH0413289155"/>
    <x v="32"/>
    <n v="3"/>
    <x v="2"/>
    <x v="27"/>
    <x v="1"/>
    <x v="2"/>
    <s v="EXANE 0 10/22/2021 Corp"/>
    <x v="20"/>
    <x v="1"/>
    <x v="5"/>
    <x v="0"/>
    <x v="4"/>
  </r>
  <r>
    <s v="CH0413289155"/>
    <x v="33"/>
    <n v="3"/>
    <x v="2"/>
    <x v="28"/>
    <x v="1"/>
    <x v="0"/>
    <s v="EXANE 0 10/22/2021 Corp"/>
    <x v="20"/>
    <x v="1"/>
    <x v="5"/>
    <x v="0"/>
    <x v="4"/>
  </r>
  <r>
    <s v="CH0413289155"/>
    <x v="34"/>
    <n v="3"/>
    <x v="2"/>
    <x v="29"/>
    <x v="1"/>
    <x v="0"/>
    <s v="EXANE 0 10/22/2021 Corp"/>
    <x v="20"/>
    <x v="1"/>
    <x v="5"/>
    <x v="0"/>
    <x v="4"/>
  </r>
  <r>
    <s v="CH0413289155"/>
    <x v="35"/>
    <n v="3"/>
    <x v="2"/>
    <x v="30"/>
    <x v="1"/>
    <x v="4"/>
    <s v="EXANE 0 10/22/2021 Corp"/>
    <x v="20"/>
    <x v="1"/>
    <x v="5"/>
    <x v="0"/>
    <x v="4"/>
  </r>
  <r>
    <s v="CH0413289155"/>
    <x v="36"/>
    <n v="3"/>
    <x v="2"/>
    <x v="31"/>
    <x v="1"/>
    <x v="4"/>
    <s v="EXANE 0 10/22/2021 Corp"/>
    <x v="20"/>
    <x v="1"/>
    <x v="5"/>
    <x v="0"/>
    <x v="4"/>
  </r>
  <r>
    <s v="CH0413289155"/>
    <x v="37"/>
    <n v="0"/>
    <x v="2"/>
    <x v="32"/>
    <x v="1"/>
    <x v="5"/>
    <s v="EXANE 0 10/22/2021 Corp"/>
    <x v="20"/>
    <x v="1"/>
    <x v="5"/>
    <x v="0"/>
    <x v="4"/>
  </r>
  <r>
    <s v="CH0413289155"/>
    <x v="38"/>
    <n v="0"/>
    <x v="2"/>
    <x v="33"/>
    <x v="1"/>
    <x v="5"/>
    <s v="EXANE 0 10/22/2021 Corp"/>
    <x v="20"/>
    <x v="1"/>
    <x v="5"/>
    <x v="0"/>
    <x v="4"/>
  </r>
  <r>
    <s v="CH0413289155"/>
    <x v="39"/>
    <n v="3"/>
    <x v="2"/>
    <x v="34"/>
    <x v="0"/>
    <x v="2"/>
    <s v="EXANE 0 10/22/2021 Corp"/>
    <x v="20"/>
    <x v="1"/>
    <x v="5"/>
    <x v="0"/>
    <x v="4"/>
  </r>
  <r>
    <s v="CH0413289155"/>
    <x v="40"/>
    <n v="3"/>
    <x v="2"/>
    <x v="35"/>
    <x v="0"/>
    <x v="2"/>
    <s v="EXANE 0 10/22/2021 Corp"/>
    <x v="20"/>
    <x v="1"/>
    <x v="5"/>
    <x v="0"/>
    <x v="4"/>
  </r>
  <r>
    <s v="CH0413289155"/>
    <x v="41"/>
    <n v="3"/>
    <x v="2"/>
    <x v="36"/>
    <x v="0"/>
    <x v="0"/>
    <s v="EXANE 0 10/22/2021 Corp"/>
    <x v="20"/>
    <x v="1"/>
    <x v="5"/>
    <x v="0"/>
    <x v="4"/>
  </r>
  <r>
    <s v="CH0413289155"/>
    <x v="42"/>
    <n v="3"/>
    <x v="2"/>
    <x v="37"/>
    <x v="0"/>
    <x v="0"/>
    <s v="EXANE 0 10/22/2021 Corp"/>
    <x v="20"/>
    <x v="1"/>
    <x v="5"/>
    <x v="0"/>
    <x v="4"/>
  </r>
  <r>
    <s v="CH0413289155"/>
    <x v="43"/>
    <n v="3"/>
    <x v="2"/>
    <x v="38"/>
    <x v="0"/>
    <x v="4"/>
    <s v="EXANE 0 10/22/2021 Corp"/>
    <x v="20"/>
    <x v="1"/>
    <x v="5"/>
    <x v="0"/>
    <x v="4"/>
  </r>
  <r>
    <s v="CH0413289155"/>
    <x v="44"/>
    <n v="3"/>
    <x v="2"/>
    <x v="39"/>
    <x v="0"/>
    <x v="4"/>
    <s v="EXANE 0 10/22/2021 Corp"/>
    <x v="20"/>
    <x v="1"/>
    <x v="5"/>
    <x v="0"/>
    <x v="4"/>
  </r>
  <r>
    <s v="CH0413289155"/>
    <x v="45"/>
    <n v="0"/>
    <x v="2"/>
    <x v="40"/>
    <x v="0"/>
    <x v="5"/>
    <s v="EXANE 0 10/22/2021 Corp"/>
    <x v="20"/>
    <x v="1"/>
    <x v="5"/>
    <x v="0"/>
    <x v="4"/>
  </r>
  <r>
    <s v="CH0413289155"/>
    <x v="46"/>
    <n v="0"/>
    <x v="2"/>
    <x v="41"/>
    <x v="0"/>
    <x v="5"/>
    <s v="EXANE 0 10/22/2021 Corp"/>
    <x v="20"/>
    <x v="1"/>
    <x v="5"/>
    <x v="0"/>
    <x v="4"/>
  </r>
  <r>
    <s v="CH0413289155"/>
    <x v="47"/>
    <n v="3"/>
    <x v="2"/>
    <x v="42"/>
    <x v="2"/>
    <x v="2"/>
    <s v="EXANE 0 10/22/2021 Corp"/>
    <x v="20"/>
    <x v="1"/>
    <x v="5"/>
    <x v="0"/>
    <x v="4"/>
  </r>
  <r>
    <s v="CH0413289155"/>
    <x v="48"/>
    <n v="3"/>
    <x v="2"/>
    <x v="43"/>
    <x v="2"/>
    <x v="2"/>
    <s v="EXANE 0 10/22/2021 Corp"/>
    <x v="20"/>
    <x v="1"/>
    <x v="5"/>
    <x v="0"/>
    <x v="4"/>
  </r>
  <r>
    <s v="CH0413289155"/>
    <x v="49"/>
    <n v="3"/>
    <x v="2"/>
    <x v="44"/>
    <x v="2"/>
    <x v="0"/>
    <s v="EXANE 0 10/22/2021 Corp"/>
    <x v="20"/>
    <x v="1"/>
    <x v="5"/>
    <x v="0"/>
    <x v="4"/>
  </r>
  <r>
    <s v="CH0413289155"/>
    <x v="50"/>
    <n v="3"/>
    <x v="2"/>
    <x v="45"/>
    <x v="2"/>
    <x v="0"/>
    <s v="EXANE 0 10/22/2021 Corp"/>
    <x v="20"/>
    <x v="1"/>
    <x v="5"/>
    <x v="0"/>
    <x v="4"/>
  </r>
  <r>
    <s v="CH0413289155"/>
    <x v="51"/>
    <n v="3"/>
    <x v="2"/>
    <x v="46"/>
    <x v="2"/>
    <x v="4"/>
    <s v="EXANE 0 10/22/2021 Corp"/>
    <x v="20"/>
    <x v="1"/>
    <x v="5"/>
    <x v="0"/>
    <x v="4"/>
  </r>
  <r>
    <s v="CH0413289155"/>
    <x v="52"/>
    <n v="3"/>
    <x v="2"/>
    <x v="47"/>
    <x v="2"/>
    <x v="4"/>
    <s v="EXANE 0 10/22/2021 Corp"/>
    <x v="20"/>
    <x v="1"/>
    <x v="5"/>
    <x v="0"/>
    <x v="4"/>
  </r>
  <r>
    <s v="CH0413289155"/>
    <x v="53"/>
    <n v="0"/>
    <x v="2"/>
    <x v="48"/>
    <x v="2"/>
    <x v="5"/>
    <s v="EXANE 0 10/22/2021 Corp"/>
    <x v="20"/>
    <x v="1"/>
    <x v="5"/>
    <x v="0"/>
    <x v="4"/>
  </r>
  <r>
    <s v="CH0413289155"/>
    <x v="54"/>
    <n v="0"/>
    <x v="2"/>
    <x v="49"/>
    <x v="2"/>
    <x v="5"/>
    <s v="EXANE 0 10/22/2021 Corp"/>
    <x v="20"/>
    <x v="1"/>
    <x v="5"/>
    <x v="0"/>
    <x v="4"/>
  </r>
  <r>
    <s v="CH0413289155"/>
    <x v="55"/>
    <n v="3"/>
    <x v="2"/>
    <x v="50"/>
    <x v="3"/>
    <x v="2"/>
    <s v="EXANE 0 10/22/2021 Corp"/>
    <x v="20"/>
    <x v="1"/>
    <x v="5"/>
    <x v="0"/>
    <x v="4"/>
  </r>
  <r>
    <s v="CH0413289155"/>
    <x v="56"/>
    <n v="3"/>
    <x v="2"/>
    <x v="51"/>
    <x v="3"/>
    <x v="2"/>
    <s v="EXANE 0 10/22/2021 Corp"/>
    <x v="20"/>
    <x v="1"/>
    <x v="5"/>
    <x v="0"/>
    <x v="4"/>
  </r>
  <r>
    <s v="CH0413289155"/>
    <x v="57"/>
    <n v="3"/>
    <x v="2"/>
    <x v="52"/>
    <x v="3"/>
    <x v="0"/>
    <s v="EXANE 0 10/22/2021 Corp"/>
    <x v="20"/>
    <x v="1"/>
    <x v="5"/>
    <x v="0"/>
    <x v="4"/>
  </r>
  <r>
    <s v="CH0413289155"/>
    <x v="58"/>
    <n v="3"/>
    <x v="2"/>
    <x v="53"/>
    <x v="3"/>
    <x v="0"/>
    <s v="EXANE 0 10/22/2021 Corp"/>
    <x v="20"/>
    <x v="1"/>
    <x v="5"/>
    <x v="0"/>
    <x v="4"/>
  </r>
  <r>
    <s v="CH0413289155"/>
    <x v="59"/>
    <n v="3"/>
    <x v="2"/>
    <x v="54"/>
    <x v="3"/>
    <x v="4"/>
    <s v="EXANE 0 10/22/2021 Corp"/>
    <x v="20"/>
    <x v="1"/>
    <x v="5"/>
    <x v="0"/>
    <x v="4"/>
  </r>
  <r>
    <s v="CH0413289155"/>
    <x v="60"/>
    <n v="3"/>
    <x v="2"/>
    <x v="55"/>
    <x v="3"/>
    <x v="4"/>
    <s v="EXANE 0 10/22/2021 Corp"/>
    <x v="20"/>
    <x v="1"/>
    <x v="5"/>
    <x v="0"/>
    <x v="4"/>
  </r>
  <r>
    <s v="CH0413289155"/>
    <x v="61"/>
    <n v="0"/>
    <x v="2"/>
    <x v="56"/>
    <x v="3"/>
    <x v="5"/>
    <s v="EXANE 0 10/22/2021 Corp"/>
    <x v="20"/>
    <x v="1"/>
    <x v="5"/>
    <x v="0"/>
    <x v="4"/>
  </r>
  <r>
    <s v="CH0413289155"/>
    <x v="62"/>
    <n v="0"/>
    <x v="2"/>
    <x v="57"/>
    <x v="3"/>
    <x v="5"/>
    <s v="EXANE 0 10/22/2021 Corp"/>
    <x v="20"/>
    <x v="1"/>
    <x v="5"/>
    <x v="0"/>
    <x v="4"/>
  </r>
  <r>
    <s v="IE00B42Z5J44"/>
    <x v="31"/>
    <n v="5"/>
    <x v="2"/>
    <x v="26"/>
    <x v="1"/>
    <x v="2"/>
    <s v="IJPE LN Equity"/>
    <x v="43"/>
    <x v="0"/>
    <x v="10"/>
    <x v="0"/>
    <x v="0"/>
  </r>
  <r>
    <s v="IE00B42Z5J44"/>
    <x v="32"/>
    <n v="4"/>
    <x v="2"/>
    <x v="27"/>
    <x v="1"/>
    <x v="2"/>
    <s v="IJPE LN Equity"/>
    <x v="43"/>
    <x v="0"/>
    <x v="10"/>
    <x v="0"/>
    <x v="0"/>
  </r>
  <r>
    <s v="IE00B42Z5J44"/>
    <x v="33"/>
    <n v="4"/>
    <x v="2"/>
    <x v="28"/>
    <x v="1"/>
    <x v="0"/>
    <s v="IJPE LN Equity"/>
    <x v="43"/>
    <x v="0"/>
    <x v="10"/>
    <x v="0"/>
    <x v="0"/>
  </r>
  <r>
    <s v="IE00B42Z5J44"/>
    <x v="34"/>
    <n v="3"/>
    <x v="2"/>
    <x v="29"/>
    <x v="1"/>
    <x v="0"/>
    <s v="IJPE LN Equity"/>
    <x v="43"/>
    <x v="0"/>
    <x v="10"/>
    <x v="0"/>
    <x v="0"/>
  </r>
  <r>
    <s v="IE00B42Z5J44"/>
    <x v="35"/>
    <n v="2"/>
    <x v="2"/>
    <x v="30"/>
    <x v="1"/>
    <x v="4"/>
    <s v="IJPE LN Equity"/>
    <x v="43"/>
    <x v="0"/>
    <x v="10"/>
    <x v="0"/>
    <x v="0"/>
  </r>
  <r>
    <s v="IE00B42Z5J44"/>
    <x v="36"/>
    <n v="0"/>
    <x v="2"/>
    <x v="31"/>
    <x v="1"/>
    <x v="4"/>
    <s v="IJPE LN Equity"/>
    <x v="43"/>
    <x v="0"/>
    <x v="10"/>
    <x v="0"/>
    <x v="0"/>
  </r>
  <r>
    <s v="IE00B42Z5J44"/>
    <x v="37"/>
    <n v="2"/>
    <x v="2"/>
    <x v="32"/>
    <x v="1"/>
    <x v="5"/>
    <s v="IJPE LN Equity"/>
    <x v="43"/>
    <x v="0"/>
    <x v="10"/>
    <x v="0"/>
    <x v="0"/>
  </r>
  <r>
    <s v="IE00B42Z5J44"/>
    <x v="38"/>
    <n v="0"/>
    <x v="2"/>
    <x v="33"/>
    <x v="1"/>
    <x v="5"/>
    <s v="IJPE LN Equity"/>
    <x v="43"/>
    <x v="0"/>
    <x v="10"/>
    <x v="0"/>
    <x v="0"/>
  </r>
  <r>
    <s v="IE00B42Z5J44"/>
    <x v="39"/>
    <n v="5"/>
    <x v="2"/>
    <x v="34"/>
    <x v="0"/>
    <x v="2"/>
    <s v="IJPE LN Equity"/>
    <x v="43"/>
    <x v="0"/>
    <x v="10"/>
    <x v="0"/>
    <x v="0"/>
  </r>
  <r>
    <s v="IE00B42Z5J44"/>
    <x v="40"/>
    <n v="4"/>
    <x v="2"/>
    <x v="35"/>
    <x v="0"/>
    <x v="2"/>
    <s v="IJPE LN Equity"/>
    <x v="43"/>
    <x v="0"/>
    <x v="10"/>
    <x v="0"/>
    <x v="0"/>
  </r>
  <r>
    <s v="IE00B42Z5J44"/>
    <x v="41"/>
    <n v="4"/>
    <x v="2"/>
    <x v="36"/>
    <x v="0"/>
    <x v="0"/>
    <s v="IJPE LN Equity"/>
    <x v="43"/>
    <x v="0"/>
    <x v="10"/>
    <x v="0"/>
    <x v="0"/>
  </r>
  <r>
    <s v="IE00B42Z5J44"/>
    <x v="42"/>
    <n v="3"/>
    <x v="2"/>
    <x v="37"/>
    <x v="0"/>
    <x v="0"/>
    <s v="IJPE LN Equity"/>
    <x v="43"/>
    <x v="0"/>
    <x v="10"/>
    <x v="0"/>
    <x v="0"/>
  </r>
  <r>
    <s v="IE00B42Z5J44"/>
    <x v="43"/>
    <n v="2"/>
    <x v="2"/>
    <x v="38"/>
    <x v="0"/>
    <x v="4"/>
    <s v="IJPE LN Equity"/>
    <x v="43"/>
    <x v="0"/>
    <x v="10"/>
    <x v="0"/>
    <x v="0"/>
  </r>
  <r>
    <s v="IE00B42Z5J44"/>
    <x v="44"/>
    <n v="0"/>
    <x v="2"/>
    <x v="39"/>
    <x v="0"/>
    <x v="4"/>
    <s v="IJPE LN Equity"/>
    <x v="43"/>
    <x v="0"/>
    <x v="10"/>
    <x v="0"/>
    <x v="0"/>
  </r>
  <r>
    <s v="IE00B42Z5J44"/>
    <x v="45"/>
    <n v="2"/>
    <x v="2"/>
    <x v="40"/>
    <x v="0"/>
    <x v="5"/>
    <s v="IJPE LN Equity"/>
    <x v="43"/>
    <x v="0"/>
    <x v="10"/>
    <x v="0"/>
    <x v="0"/>
  </r>
  <r>
    <s v="IE00B42Z5J44"/>
    <x v="46"/>
    <n v="0"/>
    <x v="2"/>
    <x v="41"/>
    <x v="0"/>
    <x v="5"/>
    <s v="IJPE LN Equity"/>
    <x v="43"/>
    <x v="0"/>
    <x v="10"/>
    <x v="0"/>
    <x v="0"/>
  </r>
  <r>
    <s v="IE00B42Z5J44"/>
    <x v="47"/>
    <n v="5"/>
    <x v="2"/>
    <x v="42"/>
    <x v="2"/>
    <x v="2"/>
    <s v="IJPE LN Equity"/>
    <x v="43"/>
    <x v="0"/>
    <x v="10"/>
    <x v="0"/>
    <x v="0"/>
  </r>
  <r>
    <s v="IE00B42Z5J44"/>
    <x v="48"/>
    <n v="4"/>
    <x v="2"/>
    <x v="43"/>
    <x v="2"/>
    <x v="2"/>
    <s v="IJPE LN Equity"/>
    <x v="43"/>
    <x v="0"/>
    <x v="10"/>
    <x v="0"/>
    <x v="0"/>
  </r>
  <r>
    <s v="IE00B42Z5J44"/>
    <x v="49"/>
    <n v="4"/>
    <x v="2"/>
    <x v="44"/>
    <x v="2"/>
    <x v="0"/>
    <s v="IJPE LN Equity"/>
    <x v="43"/>
    <x v="0"/>
    <x v="10"/>
    <x v="0"/>
    <x v="0"/>
  </r>
  <r>
    <s v="IE00B42Z5J44"/>
    <x v="50"/>
    <n v="3"/>
    <x v="2"/>
    <x v="45"/>
    <x v="2"/>
    <x v="0"/>
    <s v="IJPE LN Equity"/>
    <x v="43"/>
    <x v="0"/>
    <x v="10"/>
    <x v="0"/>
    <x v="0"/>
  </r>
  <r>
    <s v="IE00B42Z5J44"/>
    <x v="51"/>
    <n v="2"/>
    <x v="2"/>
    <x v="46"/>
    <x v="2"/>
    <x v="4"/>
    <s v="IJPE LN Equity"/>
    <x v="43"/>
    <x v="0"/>
    <x v="10"/>
    <x v="0"/>
    <x v="0"/>
  </r>
  <r>
    <s v="IE00B42Z5J44"/>
    <x v="52"/>
    <n v="0"/>
    <x v="2"/>
    <x v="47"/>
    <x v="2"/>
    <x v="4"/>
    <s v="IJPE LN Equity"/>
    <x v="43"/>
    <x v="0"/>
    <x v="10"/>
    <x v="0"/>
    <x v="0"/>
  </r>
  <r>
    <s v="IE00B42Z5J44"/>
    <x v="53"/>
    <n v="2"/>
    <x v="2"/>
    <x v="48"/>
    <x v="2"/>
    <x v="5"/>
    <s v="IJPE LN Equity"/>
    <x v="43"/>
    <x v="0"/>
    <x v="10"/>
    <x v="0"/>
    <x v="0"/>
  </r>
  <r>
    <s v="IE00B42Z5J44"/>
    <x v="54"/>
    <n v="0"/>
    <x v="2"/>
    <x v="49"/>
    <x v="2"/>
    <x v="5"/>
    <s v="IJPE LN Equity"/>
    <x v="43"/>
    <x v="0"/>
    <x v="10"/>
    <x v="0"/>
    <x v="0"/>
  </r>
  <r>
    <s v="IE00B42Z5J44"/>
    <x v="55"/>
    <n v="5"/>
    <x v="2"/>
    <x v="50"/>
    <x v="3"/>
    <x v="2"/>
    <s v="IJPE LN Equity"/>
    <x v="43"/>
    <x v="0"/>
    <x v="10"/>
    <x v="0"/>
    <x v="0"/>
  </r>
  <r>
    <s v="IE00B42Z5J44"/>
    <x v="56"/>
    <n v="4"/>
    <x v="2"/>
    <x v="51"/>
    <x v="3"/>
    <x v="2"/>
    <s v="IJPE LN Equity"/>
    <x v="43"/>
    <x v="0"/>
    <x v="10"/>
    <x v="0"/>
    <x v="0"/>
  </r>
  <r>
    <s v="IE00B42Z5J44"/>
    <x v="57"/>
    <n v="4"/>
    <x v="2"/>
    <x v="52"/>
    <x v="3"/>
    <x v="0"/>
    <s v="IJPE LN Equity"/>
    <x v="43"/>
    <x v="0"/>
    <x v="10"/>
    <x v="0"/>
    <x v="0"/>
  </r>
  <r>
    <s v="IE00B42Z5J44"/>
    <x v="58"/>
    <n v="3"/>
    <x v="2"/>
    <x v="53"/>
    <x v="3"/>
    <x v="0"/>
    <s v="IJPE LN Equity"/>
    <x v="43"/>
    <x v="0"/>
    <x v="10"/>
    <x v="0"/>
    <x v="0"/>
  </r>
  <r>
    <s v="IE00B42Z5J44"/>
    <x v="59"/>
    <n v="2"/>
    <x v="2"/>
    <x v="54"/>
    <x v="3"/>
    <x v="4"/>
    <s v="IJPE LN Equity"/>
    <x v="43"/>
    <x v="0"/>
    <x v="10"/>
    <x v="0"/>
    <x v="0"/>
  </r>
  <r>
    <s v="IE00B42Z5J44"/>
    <x v="60"/>
    <n v="0"/>
    <x v="2"/>
    <x v="55"/>
    <x v="3"/>
    <x v="4"/>
    <s v="IJPE LN Equity"/>
    <x v="43"/>
    <x v="0"/>
    <x v="10"/>
    <x v="0"/>
    <x v="0"/>
  </r>
  <r>
    <s v="IE00B42Z5J44"/>
    <x v="61"/>
    <n v="2"/>
    <x v="2"/>
    <x v="56"/>
    <x v="3"/>
    <x v="5"/>
    <s v="IJPE LN Equity"/>
    <x v="43"/>
    <x v="0"/>
    <x v="10"/>
    <x v="0"/>
    <x v="0"/>
  </r>
  <r>
    <s v="IE00B42Z5J44"/>
    <x v="62"/>
    <n v="0"/>
    <x v="2"/>
    <x v="57"/>
    <x v="3"/>
    <x v="5"/>
    <s v="IJPE LN Equity"/>
    <x v="43"/>
    <x v="0"/>
    <x v="10"/>
    <x v="0"/>
    <x v="0"/>
  </r>
  <r>
    <s v="IE00BD85PG80"/>
    <x v="31"/>
    <n v="0"/>
    <x v="2"/>
    <x v="26"/>
    <x v="1"/>
    <x v="2"/>
    <s v="LIARBA5 ID Equity"/>
    <x v="52"/>
    <x v="3"/>
    <x v="13"/>
    <x v="0"/>
    <x v="0"/>
  </r>
  <r>
    <s v="IE00BD85PG80"/>
    <x v="32"/>
    <n v="0"/>
    <x v="2"/>
    <x v="27"/>
    <x v="1"/>
    <x v="2"/>
    <s v="LIARBA5 ID Equity"/>
    <x v="52"/>
    <x v="3"/>
    <x v="13"/>
    <x v="0"/>
    <x v="0"/>
  </r>
  <r>
    <s v="IE00BD85PG80"/>
    <x v="33"/>
    <n v="0"/>
    <x v="2"/>
    <x v="28"/>
    <x v="1"/>
    <x v="0"/>
    <s v="LIARBA5 ID Equity"/>
    <x v="52"/>
    <x v="3"/>
    <x v="13"/>
    <x v="0"/>
    <x v="0"/>
  </r>
  <r>
    <s v="IE00BD85PG80"/>
    <x v="34"/>
    <n v="0"/>
    <x v="2"/>
    <x v="29"/>
    <x v="1"/>
    <x v="0"/>
    <s v="LIARBA5 ID Equity"/>
    <x v="52"/>
    <x v="3"/>
    <x v="13"/>
    <x v="0"/>
    <x v="0"/>
  </r>
  <r>
    <s v="IE00BD85PG80"/>
    <x v="35"/>
    <n v="3"/>
    <x v="2"/>
    <x v="30"/>
    <x v="1"/>
    <x v="4"/>
    <s v="LIARBA5 ID Equity"/>
    <x v="52"/>
    <x v="3"/>
    <x v="13"/>
    <x v="0"/>
    <x v="0"/>
  </r>
  <r>
    <s v="IE00BD85PG80"/>
    <x v="36"/>
    <n v="0"/>
    <x v="2"/>
    <x v="31"/>
    <x v="1"/>
    <x v="4"/>
    <s v="LIARBA5 ID Equity"/>
    <x v="52"/>
    <x v="3"/>
    <x v="13"/>
    <x v="0"/>
    <x v="0"/>
  </r>
  <r>
    <s v="IE00BD85PG80"/>
    <x v="37"/>
    <n v="3"/>
    <x v="2"/>
    <x v="32"/>
    <x v="1"/>
    <x v="5"/>
    <s v="LIARBA5 ID Equity"/>
    <x v="52"/>
    <x v="3"/>
    <x v="13"/>
    <x v="0"/>
    <x v="0"/>
  </r>
  <r>
    <s v="IE00BD85PG80"/>
    <x v="38"/>
    <n v="0"/>
    <x v="2"/>
    <x v="33"/>
    <x v="1"/>
    <x v="5"/>
    <s v="LIARBA5 ID Equity"/>
    <x v="52"/>
    <x v="3"/>
    <x v="13"/>
    <x v="0"/>
    <x v="0"/>
  </r>
  <r>
    <s v="IE00BD85PG80"/>
    <x v="39"/>
    <n v="0"/>
    <x v="2"/>
    <x v="34"/>
    <x v="0"/>
    <x v="2"/>
    <s v="LIARBA5 ID Equity"/>
    <x v="52"/>
    <x v="3"/>
    <x v="13"/>
    <x v="0"/>
    <x v="0"/>
  </r>
  <r>
    <s v="IE00BD85PG80"/>
    <x v="40"/>
    <n v="0"/>
    <x v="2"/>
    <x v="35"/>
    <x v="0"/>
    <x v="2"/>
    <s v="LIARBA5 ID Equity"/>
    <x v="52"/>
    <x v="3"/>
    <x v="13"/>
    <x v="0"/>
    <x v="0"/>
  </r>
  <r>
    <s v="IE00BD85PG80"/>
    <x v="41"/>
    <n v="0"/>
    <x v="2"/>
    <x v="36"/>
    <x v="0"/>
    <x v="0"/>
    <s v="LIARBA5 ID Equity"/>
    <x v="52"/>
    <x v="3"/>
    <x v="13"/>
    <x v="0"/>
    <x v="0"/>
  </r>
  <r>
    <s v="IE00BD85PG80"/>
    <x v="42"/>
    <n v="0"/>
    <x v="2"/>
    <x v="37"/>
    <x v="0"/>
    <x v="0"/>
    <s v="LIARBA5 ID Equity"/>
    <x v="52"/>
    <x v="3"/>
    <x v="13"/>
    <x v="0"/>
    <x v="0"/>
  </r>
  <r>
    <s v="IE00BD85PG80"/>
    <x v="43"/>
    <n v="3"/>
    <x v="2"/>
    <x v="38"/>
    <x v="0"/>
    <x v="4"/>
    <s v="LIARBA5 ID Equity"/>
    <x v="52"/>
    <x v="3"/>
    <x v="13"/>
    <x v="0"/>
    <x v="0"/>
  </r>
  <r>
    <s v="IE00BD85PG80"/>
    <x v="44"/>
    <n v="0"/>
    <x v="2"/>
    <x v="39"/>
    <x v="0"/>
    <x v="4"/>
    <s v="LIARBA5 ID Equity"/>
    <x v="52"/>
    <x v="3"/>
    <x v="13"/>
    <x v="0"/>
    <x v="0"/>
  </r>
  <r>
    <s v="IE00BD85PG80"/>
    <x v="45"/>
    <n v="3"/>
    <x v="2"/>
    <x v="40"/>
    <x v="0"/>
    <x v="5"/>
    <s v="LIARBA5 ID Equity"/>
    <x v="52"/>
    <x v="3"/>
    <x v="13"/>
    <x v="0"/>
    <x v="0"/>
  </r>
  <r>
    <s v="IE00BD85PG80"/>
    <x v="46"/>
    <n v="0"/>
    <x v="2"/>
    <x v="41"/>
    <x v="0"/>
    <x v="5"/>
    <s v="LIARBA5 ID Equity"/>
    <x v="52"/>
    <x v="3"/>
    <x v="13"/>
    <x v="0"/>
    <x v="0"/>
  </r>
  <r>
    <s v="IE00BD85PG80"/>
    <x v="47"/>
    <n v="0"/>
    <x v="2"/>
    <x v="42"/>
    <x v="2"/>
    <x v="2"/>
    <s v="LIARBA5 ID Equity"/>
    <x v="52"/>
    <x v="3"/>
    <x v="13"/>
    <x v="0"/>
    <x v="0"/>
  </r>
  <r>
    <s v="IE00BD85PG80"/>
    <x v="48"/>
    <n v="0"/>
    <x v="2"/>
    <x v="43"/>
    <x v="2"/>
    <x v="2"/>
    <s v="LIARBA5 ID Equity"/>
    <x v="52"/>
    <x v="3"/>
    <x v="13"/>
    <x v="0"/>
    <x v="0"/>
  </r>
  <r>
    <s v="IE00BD85PG80"/>
    <x v="49"/>
    <n v="0"/>
    <x v="2"/>
    <x v="44"/>
    <x v="2"/>
    <x v="0"/>
    <s v="LIARBA5 ID Equity"/>
    <x v="52"/>
    <x v="3"/>
    <x v="13"/>
    <x v="0"/>
    <x v="0"/>
  </r>
  <r>
    <s v="IE00BD85PG80"/>
    <x v="50"/>
    <n v="0"/>
    <x v="2"/>
    <x v="45"/>
    <x v="2"/>
    <x v="0"/>
    <s v="LIARBA5 ID Equity"/>
    <x v="52"/>
    <x v="3"/>
    <x v="13"/>
    <x v="0"/>
    <x v="0"/>
  </r>
  <r>
    <s v="IE00BD85PG80"/>
    <x v="51"/>
    <n v="3"/>
    <x v="2"/>
    <x v="46"/>
    <x v="2"/>
    <x v="4"/>
    <s v="LIARBA5 ID Equity"/>
    <x v="52"/>
    <x v="3"/>
    <x v="13"/>
    <x v="0"/>
    <x v="0"/>
  </r>
  <r>
    <s v="IE00BD85PG80"/>
    <x v="52"/>
    <n v="0"/>
    <x v="2"/>
    <x v="47"/>
    <x v="2"/>
    <x v="4"/>
    <s v="LIARBA5 ID Equity"/>
    <x v="52"/>
    <x v="3"/>
    <x v="13"/>
    <x v="0"/>
    <x v="0"/>
  </r>
  <r>
    <s v="IE00BD85PG80"/>
    <x v="53"/>
    <n v="3"/>
    <x v="2"/>
    <x v="48"/>
    <x v="2"/>
    <x v="5"/>
    <s v="LIARBA5 ID Equity"/>
    <x v="52"/>
    <x v="3"/>
    <x v="13"/>
    <x v="0"/>
    <x v="0"/>
  </r>
  <r>
    <s v="IE00BD85PG80"/>
    <x v="54"/>
    <n v="0"/>
    <x v="2"/>
    <x v="49"/>
    <x v="2"/>
    <x v="5"/>
    <s v="LIARBA5 ID Equity"/>
    <x v="52"/>
    <x v="3"/>
    <x v="13"/>
    <x v="0"/>
    <x v="0"/>
  </r>
  <r>
    <s v="IE00BD85PG80"/>
    <x v="55"/>
    <n v="0"/>
    <x v="2"/>
    <x v="50"/>
    <x v="3"/>
    <x v="2"/>
    <s v="LIARBA5 ID Equity"/>
    <x v="52"/>
    <x v="3"/>
    <x v="13"/>
    <x v="0"/>
    <x v="0"/>
  </r>
  <r>
    <s v="IE00BD85PG80"/>
    <x v="56"/>
    <n v="0"/>
    <x v="2"/>
    <x v="51"/>
    <x v="3"/>
    <x v="2"/>
    <s v="LIARBA5 ID Equity"/>
    <x v="52"/>
    <x v="3"/>
    <x v="13"/>
    <x v="0"/>
    <x v="0"/>
  </r>
  <r>
    <s v="IE00BD85PG80"/>
    <x v="57"/>
    <n v="0"/>
    <x v="2"/>
    <x v="52"/>
    <x v="3"/>
    <x v="0"/>
    <s v="LIARBA5 ID Equity"/>
    <x v="52"/>
    <x v="3"/>
    <x v="13"/>
    <x v="0"/>
    <x v="0"/>
  </r>
  <r>
    <s v="IE00BD85PG80"/>
    <x v="58"/>
    <n v="0"/>
    <x v="2"/>
    <x v="53"/>
    <x v="3"/>
    <x v="0"/>
    <s v="LIARBA5 ID Equity"/>
    <x v="52"/>
    <x v="3"/>
    <x v="13"/>
    <x v="0"/>
    <x v="0"/>
  </r>
  <r>
    <s v="IE00BD85PG80"/>
    <x v="59"/>
    <n v="3"/>
    <x v="2"/>
    <x v="54"/>
    <x v="3"/>
    <x v="4"/>
    <s v="LIARBA5 ID Equity"/>
    <x v="52"/>
    <x v="3"/>
    <x v="13"/>
    <x v="0"/>
    <x v="0"/>
  </r>
  <r>
    <s v="IE00BD85PG80"/>
    <x v="60"/>
    <n v="0"/>
    <x v="2"/>
    <x v="55"/>
    <x v="3"/>
    <x v="4"/>
    <s v="LIARBA5 ID Equity"/>
    <x v="52"/>
    <x v="3"/>
    <x v="13"/>
    <x v="0"/>
    <x v="0"/>
  </r>
  <r>
    <s v="IE00BD85PG80"/>
    <x v="61"/>
    <n v="3"/>
    <x v="2"/>
    <x v="56"/>
    <x v="3"/>
    <x v="5"/>
    <s v="LIARBA5 ID Equity"/>
    <x v="52"/>
    <x v="3"/>
    <x v="13"/>
    <x v="0"/>
    <x v="0"/>
  </r>
  <r>
    <s v="IE00BD85PG80"/>
    <x v="62"/>
    <n v="0"/>
    <x v="2"/>
    <x v="57"/>
    <x v="3"/>
    <x v="5"/>
    <s v="LIARBA5 ID Equity"/>
    <x v="52"/>
    <x v="3"/>
    <x v="13"/>
    <x v="0"/>
    <x v="0"/>
  </r>
  <r>
    <s v="IE00BP4KB520"/>
    <x v="31"/>
    <n v="0"/>
    <x v="2"/>
    <x v="26"/>
    <x v="1"/>
    <x v="2"/>
    <s v="LIOAIA1 ID Equity"/>
    <x v="96"/>
    <x v="0"/>
    <x v="9"/>
    <x v="0"/>
    <x v="0"/>
  </r>
  <r>
    <s v="IE00BP4KB520"/>
    <x v="32"/>
    <n v="0"/>
    <x v="2"/>
    <x v="27"/>
    <x v="1"/>
    <x v="2"/>
    <s v="LIOAIA1 ID Equity"/>
    <x v="96"/>
    <x v="0"/>
    <x v="9"/>
    <x v="0"/>
    <x v="0"/>
  </r>
  <r>
    <s v="IE00BP4KB520"/>
    <x v="33"/>
    <n v="0"/>
    <x v="2"/>
    <x v="28"/>
    <x v="1"/>
    <x v="0"/>
    <s v="LIOAIA1 ID Equity"/>
    <x v="96"/>
    <x v="0"/>
    <x v="9"/>
    <x v="0"/>
    <x v="0"/>
  </r>
  <r>
    <s v="IE00BP4KB520"/>
    <x v="34"/>
    <n v="0"/>
    <x v="2"/>
    <x v="29"/>
    <x v="1"/>
    <x v="0"/>
    <s v="LIOAIA1 ID Equity"/>
    <x v="96"/>
    <x v="0"/>
    <x v="9"/>
    <x v="0"/>
    <x v="0"/>
  </r>
  <r>
    <s v="IE00BP4KB520"/>
    <x v="35"/>
    <n v="0"/>
    <x v="2"/>
    <x v="30"/>
    <x v="1"/>
    <x v="4"/>
    <s v="LIOAIA1 ID Equity"/>
    <x v="96"/>
    <x v="0"/>
    <x v="9"/>
    <x v="0"/>
    <x v="0"/>
  </r>
  <r>
    <s v="IE00BP4KB520"/>
    <x v="36"/>
    <n v="0"/>
    <x v="2"/>
    <x v="31"/>
    <x v="1"/>
    <x v="4"/>
    <s v="LIOAIA1 ID Equity"/>
    <x v="96"/>
    <x v="0"/>
    <x v="9"/>
    <x v="0"/>
    <x v="0"/>
  </r>
  <r>
    <s v="IE00BP4KB520"/>
    <x v="37"/>
    <n v="0"/>
    <x v="2"/>
    <x v="32"/>
    <x v="1"/>
    <x v="5"/>
    <s v="LIOAIA1 ID Equity"/>
    <x v="96"/>
    <x v="0"/>
    <x v="9"/>
    <x v="0"/>
    <x v="0"/>
  </r>
  <r>
    <s v="IE00BP4KB520"/>
    <x v="38"/>
    <n v="0"/>
    <x v="2"/>
    <x v="33"/>
    <x v="1"/>
    <x v="5"/>
    <s v="LIOAIA1 ID Equity"/>
    <x v="96"/>
    <x v="0"/>
    <x v="9"/>
    <x v="0"/>
    <x v="0"/>
  </r>
  <r>
    <s v="IE00BP4KB520"/>
    <x v="39"/>
    <n v="0"/>
    <x v="2"/>
    <x v="34"/>
    <x v="0"/>
    <x v="2"/>
    <s v="LIOAIA1 ID Equity"/>
    <x v="96"/>
    <x v="0"/>
    <x v="9"/>
    <x v="0"/>
    <x v="0"/>
  </r>
  <r>
    <s v="IE00BP4KB520"/>
    <x v="40"/>
    <n v="0"/>
    <x v="2"/>
    <x v="35"/>
    <x v="0"/>
    <x v="2"/>
    <s v="LIOAIA1 ID Equity"/>
    <x v="96"/>
    <x v="0"/>
    <x v="9"/>
    <x v="0"/>
    <x v="0"/>
  </r>
  <r>
    <s v="IE00BP4KB520"/>
    <x v="41"/>
    <n v="0"/>
    <x v="2"/>
    <x v="36"/>
    <x v="0"/>
    <x v="0"/>
    <s v="LIOAIA1 ID Equity"/>
    <x v="96"/>
    <x v="0"/>
    <x v="9"/>
    <x v="0"/>
    <x v="0"/>
  </r>
  <r>
    <s v="IE00BP4KB520"/>
    <x v="42"/>
    <n v="0"/>
    <x v="2"/>
    <x v="37"/>
    <x v="0"/>
    <x v="0"/>
    <s v="LIOAIA1 ID Equity"/>
    <x v="96"/>
    <x v="0"/>
    <x v="9"/>
    <x v="0"/>
    <x v="0"/>
  </r>
  <r>
    <s v="IE00BP4KB520"/>
    <x v="43"/>
    <n v="0"/>
    <x v="2"/>
    <x v="38"/>
    <x v="0"/>
    <x v="4"/>
    <s v="LIOAIA1 ID Equity"/>
    <x v="96"/>
    <x v="0"/>
    <x v="9"/>
    <x v="0"/>
    <x v="0"/>
  </r>
  <r>
    <s v="IE00BP4KB520"/>
    <x v="44"/>
    <n v="0"/>
    <x v="2"/>
    <x v="39"/>
    <x v="0"/>
    <x v="4"/>
    <s v="LIOAIA1 ID Equity"/>
    <x v="96"/>
    <x v="0"/>
    <x v="9"/>
    <x v="0"/>
    <x v="0"/>
  </r>
  <r>
    <s v="IE00BP4KB520"/>
    <x v="45"/>
    <n v="0"/>
    <x v="2"/>
    <x v="40"/>
    <x v="0"/>
    <x v="5"/>
    <s v="LIOAIA1 ID Equity"/>
    <x v="96"/>
    <x v="0"/>
    <x v="9"/>
    <x v="0"/>
    <x v="0"/>
  </r>
  <r>
    <s v="IE00BP4KB520"/>
    <x v="46"/>
    <n v="0"/>
    <x v="2"/>
    <x v="41"/>
    <x v="0"/>
    <x v="5"/>
    <s v="LIOAIA1 ID Equity"/>
    <x v="96"/>
    <x v="0"/>
    <x v="9"/>
    <x v="0"/>
    <x v="0"/>
  </r>
  <r>
    <s v="IE00BP4KB520"/>
    <x v="47"/>
    <n v="0"/>
    <x v="2"/>
    <x v="42"/>
    <x v="2"/>
    <x v="2"/>
    <s v="LIOAIA1 ID Equity"/>
    <x v="96"/>
    <x v="0"/>
    <x v="9"/>
    <x v="0"/>
    <x v="0"/>
  </r>
  <r>
    <s v="IE00BP4KB520"/>
    <x v="48"/>
    <n v="0"/>
    <x v="2"/>
    <x v="43"/>
    <x v="2"/>
    <x v="2"/>
    <s v="LIOAIA1 ID Equity"/>
    <x v="96"/>
    <x v="0"/>
    <x v="9"/>
    <x v="0"/>
    <x v="0"/>
  </r>
  <r>
    <s v="IE00BP4KB520"/>
    <x v="49"/>
    <n v="0"/>
    <x v="2"/>
    <x v="44"/>
    <x v="2"/>
    <x v="0"/>
    <s v="LIOAIA1 ID Equity"/>
    <x v="96"/>
    <x v="0"/>
    <x v="9"/>
    <x v="0"/>
    <x v="0"/>
  </r>
  <r>
    <s v="IE00BP4KB520"/>
    <x v="50"/>
    <n v="0"/>
    <x v="2"/>
    <x v="45"/>
    <x v="2"/>
    <x v="0"/>
    <s v="LIOAIA1 ID Equity"/>
    <x v="96"/>
    <x v="0"/>
    <x v="9"/>
    <x v="0"/>
    <x v="0"/>
  </r>
  <r>
    <s v="IE00BP4KB520"/>
    <x v="51"/>
    <n v="0"/>
    <x v="2"/>
    <x v="46"/>
    <x v="2"/>
    <x v="4"/>
    <s v="LIOAIA1 ID Equity"/>
    <x v="96"/>
    <x v="0"/>
    <x v="9"/>
    <x v="0"/>
    <x v="0"/>
  </r>
  <r>
    <s v="IE00BP4KB520"/>
    <x v="52"/>
    <n v="0"/>
    <x v="2"/>
    <x v="47"/>
    <x v="2"/>
    <x v="4"/>
    <s v="LIOAIA1 ID Equity"/>
    <x v="96"/>
    <x v="0"/>
    <x v="9"/>
    <x v="0"/>
    <x v="0"/>
  </r>
  <r>
    <s v="IE00BP4KB520"/>
    <x v="53"/>
    <n v="0"/>
    <x v="2"/>
    <x v="48"/>
    <x v="2"/>
    <x v="5"/>
    <s v="LIOAIA1 ID Equity"/>
    <x v="96"/>
    <x v="0"/>
    <x v="9"/>
    <x v="0"/>
    <x v="0"/>
  </r>
  <r>
    <s v="IE00BP4KB520"/>
    <x v="54"/>
    <n v="0"/>
    <x v="2"/>
    <x v="49"/>
    <x v="2"/>
    <x v="5"/>
    <s v="LIOAIA1 ID Equity"/>
    <x v="96"/>
    <x v="0"/>
    <x v="9"/>
    <x v="0"/>
    <x v="0"/>
  </r>
  <r>
    <s v="IE00BP4KB520"/>
    <x v="55"/>
    <n v="0"/>
    <x v="2"/>
    <x v="50"/>
    <x v="3"/>
    <x v="2"/>
    <s v="LIOAIA1 ID Equity"/>
    <x v="96"/>
    <x v="0"/>
    <x v="9"/>
    <x v="0"/>
    <x v="0"/>
  </r>
  <r>
    <s v="IE00BP4KB520"/>
    <x v="56"/>
    <n v="0"/>
    <x v="2"/>
    <x v="51"/>
    <x v="3"/>
    <x v="2"/>
    <s v="LIOAIA1 ID Equity"/>
    <x v="96"/>
    <x v="0"/>
    <x v="9"/>
    <x v="0"/>
    <x v="0"/>
  </r>
  <r>
    <s v="IE00BP4KB520"/>
    <x v="57"/>
    <n v="0"/>
    <x v="2"/>
    <x v="52"/>
    <x v="3"/>
    <x v="0"/>
    <s v="LIOAIA1 ID Equity"/>
    <x v="96"/>
    <x v="0"/>
    <x v="9"/>
    <x v="0"/>
    <x v="0"/>
  </r>
  <r>
    <s v="IE00BP4KB520"/>
    <x v="58"/>
    <n v="0"/>
    <x v="2"/>
    <x v="53"/>
    <x v="3"/>
    <x v="0"/>
    <s v="LIOAIA1 ID Equity"/>
    <x v="96"/>
    <x v="0"/>
    <x v="9"/>
    <x v="0"/>
    <x v="0"/>
  </r>
  <r>
    <s v="IE00BP4KB520"/>
    <x v="59"/>
    <n v="0"/>
    <x v="2"/>
    <x v="54"/>
    <x v="3"/>
    <x v="4"/>
    <s v="LIOAIA1 ID Equity"/>
    <x v="96"/>
    <x v="0"/>
    <x v="9"/>
    <x v="0"/>
    <x v="0"/>
  </r>
  <r>
    <s v="IE00BP4KB520"/>
    <x v="60"/>
    <n v="0"/>
    <x v="2"/>
    <x v="55"/>
    <x v="3"/>
    <x v="4"/>
    <s v="LIOAIA1 ID Equity"/>
    <x v="96"/>
    <x v="0"/>
    <x v="9"/>
    <x v="0"/>
    <x v="0"/>
  </r>
  <r>
    <s v="IE00BP4KB520"/>
    <x v="61"/>
    <n v="0"/>
    <x v="2"/>
    <x v="56"/>
    <x v="3"/>
    <x v="5"/>
    <s v="LIOAIA1 ID Equity"/>
    <x v="96"/>
    <x v="0"/>
    <x v="9"/>
    <x v="0"/>
    <x v="0"/>
  </r>
  <r>
    <s v="IE00BP4KB520"/>
    <x v="62"/>
    <n v="0"/>
    <x v="2"/>
    <x v="57"/>
    <x v="3"/>
    <x v="5"/>
    <s v="LIOAIA1 ID Equity"/>
    <x v="96"/>
    <x v="0"/>
    <x v="9"/>
    <x v="0"/>
    <x v="0"/>
  </r>
  <r>
    <s v="IE00BYWRQH52"/>
    <x v="31"/>
    <n v="0"/>
    <x v="2"/>
    <x v="26"/>
    <x v="1"/>
    <x v="2"/>
    <s v="LISBA5A ID Equity"/>
    <x v="54"/>
    <x v="3"/>
    <x v="13"/>
    <x v="0"/>
    <x v="0"/>
  </r>
  <r>
    <s v="IE00BYWRQH52"/>
    <x v="32"/>
    <n v="0"/>
    <x v="2"/>
    <x v="27"/>
    <x v="1"/>
    <x v="2"/>
    <s v="LISBA5A ID Equity"/>
    <x v="54"/>
    <x v="3"/>
    <x v="13"/>
    <x v="0"/>
    <x v="0"/>
  </r>
  <r>
    <s v="IE00BYWRQH52"/>
    <x v="33"/>
    <n v="0"/>
    <x v="2"/>
    <x v="28"/>
    <x v="1"/>
    <x v="0"/>
    <s v="LISBA5A ID Equity"/>
    <x v="54"/>
    <x v="3"/>
    <x v="13"/>
    <x v="0"/>
    <x v="0"/>
  </r>
  <r>
    <s v="IE00BYWRQH52"/>
    <x v="34"/>
    <n v="0"/>
    <x v="2"/>
    <x v="29"/>
    <x v="1"/>
    <x v="0"/>
    <s v="LISBA5A ID Equity"/>
    <x v="54"/>
    <x v="3"/>
    <x v="13"/>
    <x v="0"/>
    <x v="0"/>
  </r>
  <r>
    <s v="IE00BYWRQH52"/>
    <x v="35"/>
    <n v="0"/>
    <x v="2"/>
    <x v="30"/>
    <x v="1"/>
    <x v="4"/>
    <s v="LISBA5A ID Equity"/>
    <x v="54"/>
    <x v="3"/>
    <x v="13"/>
    <x v="0"/>
    <x v="0"/>
  </r>
  <r>
    <s v="IE00BYWRQH52"/>
    <x v="36"/>
    <n v="0"/>
    <x v="2"/>
    <x v="31"/>
    <x v="1"/>
    <x v="4"/>
    <s v="LISBA5A ID Equity"/>
    <x v="54"/>
    <x v="3"/>
    <x v="13"/>
    <x v="0"/>
    <x v="0"/>
  </r>
  <r>
    <s v="IE00BYWRQH52"/>
    <x v="37"/>
    <n v="3"/>
    <x v="2"/>
    <x v="32"/>
    <x v="1"/>
    <x v="5"/>
    <s v="LISBA5A ID Equity"/>
    <x v="54"/>
    <x v="3"/>
    <x v="13"/>
    <x v="0"/>
    <x v="0"/>
  </r>
  <r>
    <s v="IE00BYWRQH52"/>
    <x v="38"/>
    <n v="0"/>
    <x v="2"/>
    <x v="33"/>
    <x v="1"/>
    <x v="5"/>
    <s v="LISBA5A ID Equity"/>
    <x v="54"/>
    <x v="3"/>
    <x v="13"/>
    <x v="0"/>
    <x v="0"/>
  </r>
  <r>
    <s v="IE00BYWRQH52"/>
    <x v="39"/>
    <n v="0"/>
    <x v="2"/>
    <x v="34"/>
    <x v="0"/>
    <x v="2"/>
    <s v="LISBA5A ID Equity"/>
    <x v="54"/>
    <x v="3"/>
    <x v="13"/>
    <x v="0"/>
    <x v="0"/>
  </r>
  <r>
    <s v="IE00BYWRQH52"/>
    <x v="40"/>
    <n v="0"/>
    <x v="2"/>
    <x v="35"/>
    <x v="0"/>
    <x v="2"/>
    <s v="LISBA5A ID Equity"/>
    <x v="54"/>
    <x v="3"/>
    <x v="13"/>
    <x v="0"/>
    <x v="0"/>
  </r>
  <r>
    <s v="IE00BYWRQH52"/>
    <x v="41"/>
    <n v="0"/>
    <x v="2"/>
    <x v="36"/>
    <x v="0"/>
    <x v="0"/>
    <s v="LISBA5A ID Equity"/>
    <x v="54"/>
    <x v="3"/>
    <x v="13"/>
    <x v="0"/>
    <x v="0"/>
  </r>
  <r>
    <s v="IE00BYWRQH52"/>
    <x v="42"/>
    <n v="0"/>
    <x v="2"/>
    <x v="37"/>
    <x v="0"/>
    <x v="0"/>
    <s v="LISBA5A ID Equity"/>
    <x v="54"/>
    <x v="3"/>
    <x v="13"/>
    <x v="0"/>
    <x v="0"/>
  </r>
  <r>
    <s v="IE00BYWRQH52"/>
    <x v="43"/>
    <n v="0"/>
    <x v="2"/>
    <x v="38"/>
    <x v="0"/>
    <x v="4"/>
    <s v="LISBA5A ID Equity"/>
    <x v="54"/>
    <x v="3"/>
    <x v="13"/>
    <x v="0"/>
    <x v="0"/>
  </r>
  <r>
    <s v="IE00BYWRQH52"/>
    <x v="44"/>
    <n v="0"/>
    <x v="2"/>
    <x v="39"/>
    <x v="0"/>
    <x v="4"/>
    <s v="LISBA5A ID Equity"/>
    <x v="54"/>
    <x v="3"/>
    <x v="13"/>
    <x v="0"/>
    <x v="0"/>
  </r>
  <r>
    <s v="IE00BYWRQH52"/>
    <x v="45"/>
    <n v="3"/>
    <x v="2"/>
    <x v="40"/>
    <x v="0"/>
    <x v="5"/>
    <s v="LISBA5A ID Equity"/>
    <x v="54"/>
    <x v="3"/>
    <x v="13"/>
    <x v="0"/>
    <x v="0"/>
  </r>
  <r>
    <s v="IE00BYWRQH52"/>
    <x v="46"/>
    <n v="0"/>
    <x v="2"/>
    <x v="41"/>
    <x v="0"/>
    <x v="5"/>
    <s v="LISBA5A ID Equity"/>
    <x v="54"/>
    <x v="3"/>
    <x v="13"/>
    <x v="0"/>
    <x v="0"/>
  </r>
  <r>
    <s v="IE00BYWRQH52"/>
    <x v="47"/>
    <n v="0"/>
    <x v="2"/>
    <x v="42"/>
    <x v="2"/>
    <x v="2"/>
    <s v="LISBA5A ID Equity"/>
    <x v="54"/>
    <x v="3"/>
    <x v="13"/>
    <x v="0"/>
    <x v="0"/>
  </r>
  <r>
    <s v="IE00BYWRQH52"/>
    <x v="48"/>
    <n v="0"/>
    <x v="2"/>
    <x v="43"/>
    <x v="2"/>
    <x v="2"/>
    <s v="LISBA5A ID Equity"/>
    <x v="54"/>
    <x v="3"/>
    <x v="13"/>
    <x v="0"/>
    <x v="0"/>
  </r>
  <r>
    <s v="IE00BYWRQH52"/>
    <x v="49"/>
    <n v="0"/>
    <x v="2"/>
    <x v="44"/>
    <x v="2"/>
    <x v="0"/>
    <s v="LISBA5A ID Equity"/>
    <x v="54"/>
    <x v="3"/>
    <x v="13"/>
    <x v="0"/>
    <x v="0"/>
  </r>
  <r>
    <s v="IE00BYWRQH52"/>
    <x v="50"/>
    <n v="0"/>
    <x v="2"/>
    <x v="45"/>
    <x v="2"/>
    <x v="0"/>
    <s v="LISBA5A ID Equity"/>
    <x v="54"/>
    <x v="3"/>
    <x v="13"/>
    <x v="0"/>
    <x v="0"/>
  </r>
  <r>
    <s v="IE00BYWRQH52"/>
    <x v="51"/>
    <n v="0"/>
    <x v="2"/>
    <x v="46"/>
    <x v="2"/>
    <x v="4"/>
    <s v="LISBA5A ID Equity"/>
    <x v="54"/>
    <x v="3"/>
    <x v="13"/>
    <x v="0"/>
    <x v="0"/>
  </r>
  <r>
    <s v="IE00BYWRQH52"/>
    <x v="52"/>
    <n v="0"/>
    <x v="2"/>
    <x v="47"/>
    <x v="2"/>
    <x v="4"/>
    <s v="LISBA5A ID Equity"/>
    <x v="54"/>
    <x v="3"/>
    <x v="13"/>
    <x v="0"/>
    <x v="0"/>
  </r>
  <r>
    <s v="IE00BYWRQH52"/>
    <x v="53"/>
    <n v="3"/>
    <x v="2"/>
    <x v="48"/>
    <x v="2"/>
    <x v="5"/>
    <s v="LISBA5A ID Equity"/>
    <x v="54"/>
    <x v="3"/>
    <x v="13"/>
    <x v="0"/>
    <x v="0"/>
  </r>
  <r>
    <s v="IE00BYWRQH52"/>
    <x v="54"/>
    <n v="0"/>
    <x v="2"/>
    <x v="49"/>
    <x v="2"/>
    <x v="5"/>
    <s v="LISBA5A ID Equity"/>
    <x v="54"/>
    <x v="3"/>
    <x v="13"/>
    <x v="0"/>
    <x v="0"/>
  </r>
  <r>
    <s v="IE00BYWRQH52"/>
    <x v="55"/>
    <n v="0"/>
    <x v="2"/>
    <x v="50"/>
    <x v="3"/>
    <x v="2"/>
    <s v="LISBA5A ID Equity"/>
    <x v="54"/>
    <x v="3"/>
    <x v="13"/>
    <x v="0"/>
    <x v="0"/>
  </r>
  <r>
    <s v="IE00BYWRQH52"/>
    <x v="56"/>
    <n v="0"/>
    <x v="2"/>
    <x v="51"/>
    <x v="3"/>
    <x v="2"/>
    <s v="LISBA5A ID Equity"/>
    <x v="54"/>
    <x v="3"/>
    <x v="13"/>
    <x v="0"/>
    <x v="0"/>
  </r>
  <r>
    <s v="IE00BYWRQH52"/>
    <x v="57"/>
    <n v="0"/>
    <x v="2"/>
    <x v="52"/>
    <x v="3"/>
    <x v="0"/>
    <s v="LISBA5A ID Equity"/>
    <x v="54"/>
    <x v="3"/>
    <x v="13"/>
    <x v="0"/>
    <x v="0"/>
  </r>
  <r>
    <s v="IE00BYWRQH52"/>
    <x v="58"/>
    <n v="0"/>
    <x v="2"/>
    <x v="53"/>
    <x v="3"/>
    <x v="0"/>
    <s v="LISBA5A ID Equity"/>
    <x v="54"/>
    <x v="3"/>
    <x v="13"/>
    <x v="0"/>
    <x v="0"/>
  </r>
  <r>
    <s v="IE00BYWRQH52"/>
    <x v="59"/>
    <n v="0"/>
    <x v="2"/>
    <x v="54"/>
    <x v="3"/>
    <x v="4"/>
    <s v="LISBA5A ID Equity"/>
    <x v="54"/>
    <x v="3"/>
    <x v="13"/>
    <x v="0"/>
    <x v="0"/>
  </r>
  <r>
    <s v="IE00BYWRQH52"/>
    <x v="60"/>
    <n v="0"/>
    <x v="2"/>
    <x v="55"/>
    <x v="3"/>
    <x v="4"/>
    <s v="LISBA5A ID Equity"/>
    <x v="54"/>
    <x v="3"/>
    <x v="13"/>
    <x v="0"/>
    <x v="0"/>
  </r>
  <r>
    <s v="IE00BYWRQH52"/>
    <x v="61"/>
    <n v="3"/>
    <x v="2"/>
    <x v="56"/>
    <x v="3"/>
    <x v="5"/>
    <s v="LISBA5A ID Equity"/>
    <x v="54"/>
    <x v="3"/>
    <x v="13"/>
    <x v="0"/>
    <x v="0"/>
  </r>
  <r>
    <s v="IE00BYWRQH52"/>
    <x v="62"/>
    <n v="0"/>
    <x v="2"/>
    <x v="57"/>
    <x v="3"/>
    <x v="5"/>
    <s v="LISBA5A ID Equity"/>
    <x v="54"/>
    <x v="3"/>
    <x v="13"/>
    <x v="0"/>
    <x v="0"/>
  </r>
  <r>
    <s v="IE00BJ2KPP06"/>
    <x v="55"/>
    <n v="0"/>
    <x v="2"/>
    <x v="50"/>
    <x v="3"/>
    <x v="2"/>
    <s v="MECAHUH ID Equity"/>
    <x v="97"/>
    <x v="3"/>
    <x v="13"/>
    <x v="3"/>
    <x v="0"/>
  </r>
  <r>
    <s v="IE00BJ2KPP06"/>
    <x v="56"/>
    <n v="0"/>
    <x v="2"/>
    <x v="51"/>
    <x v="3"/>
    <x v="2"/>
    <s v="MECAHUH ID Equity"/>
    <x v="97"/>
    <x v="3"/>
    <x v="13"/>
    <x v="3"/>
    <x v="0"/>
  </r>
  <r>
    <s v="IE00BJ2KPP06"/>
    <x v="57"/>
    <n v="0"/>
    <x v="2"/>
    <x v="52"/>
    <x v="3"/>
    <x v="0"/>
    <s v="MECAHUH ID Equity"/>
    <x v="97"/>
    <x v="3"/>
    <x v="13"/>
    <x v="3"/>
    <x v="0"/>
  </r>
  <r>
    <s v="IE00BJ2KPP06"/>
    <x v="58"/>
    <n v="0"/>
    <x v="2"/>
    <x v="53"/>
    <x v="3"/>
    <x v="0"/>
    <s v="MECAHUH ID Equity"/>
    <x v="97"/>
    <x v="3"/>
    <x v="13"/>
    <x v="3"/>
    <x v="0"/>
  </r>
  <r>
    <s v="IE00BJ2KPP06"/>
    <x v="59"/>
    <n v="0"/>
    <x v="2"/>
    <x v="54"/>
    <x v="3"/>
    <x v="4"/>
    <s v="MECAHUH ID Equity"/>
    <x v="97"/>
    <x v="3"/>
    <x v="13"/>
    <x v="3"/>
    <x v="0"/>
  </r>
  <r>
    <s v="IE00BJ2KPP06"/>
    <x v="60"/>
    <n v="0"/>
    <x v="2"/>
    <x v="55"/>
    <x v="3"/>
    <x v="4"/>
    <s v="MECAHUH ID Equity"/>
    <x v="97"/>
    <x v="3"/>
    <x v="13"/>
    <x v="3"/>
    <x v="0"/>
  </r>
  <r>
    <s v="IE00BJ2KPP06"/>
    <x v="61"/>
    <n v="0"/>
    <x v="2"/>
    <x v="56"/>
    <x v="3"/>
    <x v="5"/>
    <s v="MECAHUH ID Equity"/>
    <x v="97"/>
    <x v="3"/>
    <x v="13"/>
    <x v="3"/>
    <x v="0"/>
  </r>
  <r>
    <s v="IE00BJ2KPP06"/>
    <x v="62"/>
    <n v="0"/>
    <x v="2"/>
    <x v="57"/>
    <x v="3"/>
    <x v="5"/>
    <s v="MECAHUH ID Equity"/>
    <x v="97"/>
    <x v="3"/>
    <x v="13"/>
    <x v="3"/>
    <x v="0"/>
  </r>
  <r>
    <s v="IE00BF4K8391"/>
    <x v="31"/>
    <n v="0"/>
    <x v="2"/>
    <x v="26"/>
    <x v="1"/>
    <x v="2"/>
    <s v="MECHEAF ID Equity"/>
    <x v="98"/>
    <x v="3"/>
    <x v="13"/>
    <x v="0"/>
    <x v="0"/>
  </r>
  <r>
    <s v="IE00BF4K8391"/>
    <x v="32"/>
    <n v="0"/>
    <x v="2"/>
    <x v="27"/>
    <x v="1"/>
    <x v="2"/>
    <s v="MECHEAF ID Equity"/>
    <x v="98"/>
    <x v="3"/>
    <x v="13"/>
    <x v="0"/>
    <x v="0"/>
  </r>
  <r>
    <s v="IE00BF4K8391"/>
    <x v="33"/>
    <n v="0"/>
    <x v="2"/>
    <x v="28"/>
    <x v="1"/>
    <x v="0"/>
    <s v="MECHEAF ID Equity"/>
    <x v="98"/>
    <x v="3"/>
    <x v="13"/>
    <x v="0"/>
    <x v="0"/>
  </r>
  <r>
    <s v="IE00BF4K8391"/>
    <x v="34"/>
    <n v="0"/>
    <x v="2"/>
    <x v="29"/>
    <x v="1"/>
    <x v="0"/>
    <s v="MECHEAF ID Equity"/>
    <x v="98"/>
    <x v="3"/>
    <x v="13"/>
    <x v="0"/>
    <x v="0"/>
  </r>
  <r>
    <s v="IE00BF4K8391"/>
    <x v="35"/>
    <n v="0"/>
    <x v="2"/>
    <x v="30"/>
    <x v="1"/>
    <x v="4"/>
    <s v="MECHEAF ID Equity"/>
    <x v="98"/>
    <x v="3"/>
    <x v="13"/>
    <x v="0"/>
    <x v="0"/>
  </r>
  <r>
    <s v="IE00BF4K8391"/>
    <x v="36"/>
    <n v="0"/>
    <x v="2"/>
    <x v="31"/>
    <x v="1"/>
    <x v="4"/>
    <s v="MECHEAF ID Equity"/>
    <x v="98"/>
    <x v="3"/>
    <x v="13"/>
    <x v="0"/>
    <x v="0"/>
  </r>
  <r>
    <s v="IE00BF4K8391"/>
    <x v="37"/>
    <n v="0"/>
    <x v="2"/>
    <x v="32"/>
    <x v="1"/>
    <x v="5"/>
    <s v="MECHEAF ID Equity"/>
    <x v="98"/>
    <x v="3"/>
    <x v="13"/>
    <x v="0"/>
    <x v="0"/>
  </r>
  <r>
    <s v="IE00BF4K8391"/>
    <x v="38"/>
    <n v="0"/>
    <x v="2"/>
    <x v="33"/>
    <x v="1"/>
    <x v="5"/>
    <s v="MECHEAF ID Equity"/>
    <x v="98"/>
    <x v="3"/>
    <x v="13"/>
    <x v="0"/>
    <x v="0"/>
  </r>
  <r>
    <s v="IE00BF4K8391"/>
    <x v="39"/>
    <n v="0"/>
    <x v="2"/>
    <x v="34"/>
    <x v="0"/>
    <x v="2"/>
    <s v="MECHEAF ID Equity"/>
    <x v="98"/>
    <x v="3"/>
    <x v="13"/>
    <x v="0"/>
    <x v="0"/>
  </r>
  <r>
    <s v="IE00BF4K8391"/>
    <x v="40"/>
    <n v="0"/>
    <x v="2"/>
    <x v="35"/>
    <x v="0"/>
    <x v="2"/>
    <s v="MECHEAF ID Equity"/>
    <x v="98"/>
    <x v="3"/>
    <x v="13"/>
    <x v="0"/>
    <x v="0"/>
  </r>
  <r>
    <s v="IE00BF4K8391"/>
    <x v="41"/>
    <n v="0"/>
    <x v="2"/>
    <x v="36"/>
    <x v="0"/>
    <x v="0"/>
    <s v="MECHEAF ID Equity"/>
    <x v="98"/>
    <x v="3"/>
    <x v="13"/>
    <x v="0"/>
    <x v="0"/>
  </r>
  <r>
    <s v="IE00BF4K8391"/>
    <x v="42"/>
    <n v="0"/>
    <x v="2"/>
    <x v="37"/>
    <x v="0"/>
    <x v="0"/>
    <s v="MECHEAF ID Equity"/>
    <x v="98"/>
    <x v="3"/>
    <x v="13"/>
    <x v="0"/>
    <x v="0"/>
  </r>
  <r>
    <s v="IE00BF4K8391"/>
    <x v="43"/>
    <n v="0"/>
    <x v="2"/>
    <x v="38"/>
    <x v="0"/>
    <x v="4"/>
    <s v="MECHEAF ID Equity"/>
    <x v="98"/>
    <x v="3"/>
    <x v="13"/>
    <x v="0"/>
    <x v="0"/>
  </r>
  <r>
    <s v="IE00BF4K8391"/>
    <x v="44"/>
    <n v="0"/>
    <x v="2"/>
    <x v="39"/>
    <x v="0"/>
    <x v="4"/>
    <s v="MECHEAF ID Equity"/>
    <x v="98"/>
    <x v="3"/>
    <x v="13"/>
    <x v="0"/>
    <x v="0"/>
  </r>
  <r>
    <s v="IE00BF4K8391"/>
    <x v="45"/>
    <n v="0"/>
    <x v="2"/>
    <x v="40"/>
    <x v="0"/>
    <x v="5"/>
    <s v="MECHEAF ID Equity"/>
    <x v="98"/>
    <x v="3"/>
    <x v="13"/>
    <x v="0"/>
    <x v="0"/>
  </r>
  <r>
    <s v="IE00BF4K8391"/>
    <x v="46"/>
    <n v="0"/>
    <x v="2"/>
    <x v="41"/>
    <x v="0"/>
    <x v="5"/>
    <s v="MECHEAF ID Equity"/>
    <x v="98"/>
    <x v="3"/>
    <x v="13"/>
    <x v="0"/>
    <x v="0"/>
  </r>
  <r>
    <s v="IE00BYWRTG50"/>
    <x v="47"/>
    <n v="0"/>
    <x v="2"/>
    <x v="42"/>
    <x v="2"/>
    <x v="2"/>
    <s v="MECHGAF ID Equity"/>
    <x v="99"/>
    <x v="3"/>
    <x v="13"/>
    <x v="5"/>
    <x v="0"/>
  </r>
  <r>
    <s v="IE00BYWRTG50"/>
    <x v="48"/>
    <n v="0"/>
    <x v="2"/>
    <x v="43"/>
    <x v="2"/>
    <x v="2"/>
    <s v="MECHGAF ID Equity"/>
    <x v="99"/>
    <x v="3"/>
    <x v="13"/>
    <x v="5"/>
    <x v="0"/>
  </r>
  <r>
    <s v="IE00BYWRTG50"/>
    <x v="49"/>
    <n v="0"/>
    <x v="2"/>
    <x v="44"/>
    <x v="2"/>
    <x v="0"/>
    <s v="MECHGAF ID Equity"/>
    <x v="99"/>
    <x v="3"/>
    <x v="13"/>
    <x v="5"/>
    <x v="0"/>
  </r>
  <r>
    <s v="IE00BYWRTG50"/>
    <x v="50"/>
    <n v="0"/>
    <x v="2"/>
    <x v="45"/>
    <x v="2"/>
    <x v="0"/>
    <s v="MECHGAF ID Equity"/>
    <x v="99"/>
    <x v="3"/>
    <x v="13"/>
    <x v="5"/>
    <x v="0"/>
  </r>
  <r>
    <s v="IE00BYWRTG50"/>
    <x v="51"/>
    <n v="0"/>
    <x v="2"/>
    <x v="46"/>
    <x v="2"/>
    <x v="4"/>
    <s v="MECHGAF ID Equity"/>
    <x v="99"/>
    <x v="3"/>
    <x v="13"/>
    <x v="5"/>
    <x v="0"/>
  </r>
  <r>
    <s v="IE00BYWRTG50"/>
    <x v="52"/>
    <n v="0"/>
    <x v="2"/>
    <x v="47"/>
    <x v="2"/>
    <x v="4"/>
    <s v="MECHGAF ID Equity"/>
    <x v="99"/>
    <x v="3"/>
    <x v="13"/>
    <x v="5"/>
    <x v="0"/>
  </r>
  <r>
    <s v="IE00BYWRTG50"/>
    <x v="53"/>
    <n v="0"/>
    <x v="2"/>
    <x v="48"/>
    <x v="2"/>
    <x v="5"/>
    <s v="MECHGAF ID Equity"/>
    <x v="99"/>
    <x v="3"/>
    <x v="13"/>
    <x v="5"/>
    <x v="0"/>
  </r>
  <r>
    <s v="IE00BYWRTG50"/>
    <x v="54"/>
    <n v="0"/>
    <x v="2"/>
    <x v="49"/>
    <x v="2"/>
    <x v="5"/>
    <s v="MECHGAF ID Equity"/>
    <x v="99"/>
    <x v="3"/>
    <x v="13"/>
    <x v="5"/>
    <x v="0"/>
  </r>
  <r>
    <s v="IE00BD08G390"/>
    <x v="31"/>
    <n v="5"/>
    <x v="2"/>
    <x v="26"/>
    <x v="1"/>
    <x v="2"/>
    <s v="MLAQSEI ID Equity"/>
    <x v="49"/>
    <x v="1"/>
    <x v="12"/>
    <x v="0"/>
    <x v="0"/>
  </r>
  <r>
    <s v="IE00BD08G390"/>
    <x v="32"/>
    <n v="5"/>
    <x v="2"/>
    <x v="27"/>
    <x v="1"/>
    <x v="2"/>
    <s v="MLAQSEI ID Equity"/>
    <x v="49"/>
    <x v="1"/>
    <x v="12"/>
    <x v="0"/>
    <x v="0"/>
  </r>
  <r>
    <s v="IE00BD08G390"/>
    <x v="33"/>
    <n v="5"/>
    <x v="2"/>
    <x v="28"/>
    <x v="1"/>
    <x v="0"/>
    <s v="MLAQSEI ID Equity"/>
    <x v="49"/>
    <x v="1"/>
    <x v="12"/>
    <x v="0"/>
    <x v="0"/>
  </r>
  <r>
    <s v="IE00BD08G390"/>
    <x v="34"/>
    <n v="5"/>
    <x v="2"/>
    <x v="29"/>
    <x v="1"/>
    <x v="0"/>
    <s v="MLAQSEI ID Equity"/>
    <x v="49"/>
    <x v="1"/>
    <x v="12"/>
    <x v="0"/>
    <x v="0"/>
  </r>
  <r>
    <s v="IE00BD08G390"/>
    <x v="35"/>
    <n v="4"/>
    <x v="2"/>
    <x v="30"/>
    <x v="1"/>
    <x v="4"/>
    <s v="MLAQSEI ID Equity"/>
    <x v="49"/>
    <x v="1"/>
    <x v="12"/>
    <x v="0"/>
    <x v="0"/>
  </r>
  <r>
    <s v="IE00BD08G390"/>
    <x v="36"/>
    <n v="4"/>
    <x v="2"/>
    <x v="31"/>
    <x v="1"/>
    <x v="4"/>
    <s v="MLAQSEI ID Equity"/>
    <x v="49"/>
    <x v="1"/>
    <x v="12"/>
    <x v="0"/>
    <x v="0"/>
  </r>
  <r>
    <s v="IE00BD08G390"/>
    <x v="37"/>
    <n v="0"/>
    <x v="2"/>
    <x v="32"/>
    <x v="1"/>
    <x v="5"/>
    <s v="MLAQSEI ID Equity"/>
    <x v="49"/>
    <x v="1"/>
    <x v="12"/>
    <x v="0"/>
    <x v="0"/>
  </r>
  <r>
    <s v="IE00BD08G390"/>
    <x v="38"/>
    <n v="0"/>
    <x v="2"/>
    <x v="33"/>
    <x v="1"/>
    <x v="5"/>
    <s v="MLAQSEI ID Equity"/>
    <x v="49"/>
    <x v="1"/>
    <x v="12"/>
    <x v="0"/>
    <x v="0"/>
  </r>
  <r>
    <s v="IE00BD08G390"/>
    <x v="39"/>
    <n v="5"/>
    <x v="2"/>
    <x v="34"/>
    <x v="0"/>
    <x v="2"/>
    <s v="MLAQSEI ID Equity"/>
    <x v="49"/>
    <x v="1"/>
    <x v="12"/>
    <x v="0"/>
    <x v="0"/>
  </r>
  <r>
    <s v="IE00BD08G390"/>
    <x v="40"/>
    <n v="5"/>
    <x v="2"/>
    <x v="35"/>
    <x v="0"/>
    <x v="2"/>
    <s v="MLAQSEI ID Equity"/>
    <x v="49"/>
    <x v="1"/>
    <x v="12"/>
    <x v="0"/>
    <x v="0"/>
  </r>
  <r>
    <s v="IE00BD08G390"/>
    <x v="41"/>
    <n v="5"/>
    <x v="2"/>
    <x v="36"/>
    <x v="0"/>
    <x v="0"/>
    <s v="MLAQSEI ID Equity"/>
    <x v="49"/>
    <x v="1"/>
    <x v="12"/>
    <x v="0"/>
    <x v="0"/>
  </r>
  <r>
    <s v="IE00BD08G390"/>
    <x v="42"/>
    <n v="5"/>
    <x v="2"/>
    <x v="37"/>
    <x v="0"/>
    <x v="0"/>
    <s v="MLAQSEI ID Equity"/>
    <x v="49"/>
    <x v="1"/>
    <x v="12"/>
    <x v="0"/>
    <x v="0"/>
  </r>
  <r>
    <s v="IE00BD08G390"/>
    <x v="43"/>
    <n v="4"/>
    <x v="2"/>
    <x v="38"/>
    <x v="0"/>
    <x v="4"/>
    <s v="MLAQSEI ID Equity"/>
    <x v="49"/>
    <x v="1"/>
    <x v="12"/>
    <x v="0"/>
    <x v="0"/>
  </r>
  <r>
    <s v="IE00BD08G390"/>
    <x v="44"/>
    <n v="4"/>
    <x v="2"/>
    <x v="39"/>
    <x v="0"/>
    <x v="4"/>
    <s v="MLAQSEI ID Equity"/>
    <x v="49"/>
    <x v="1"/>
    <x v="12"/>
    <x v="0"/>
    <x v="0"/>
  </r>
  <r>
    <s v="IE00BD08G390"/>
    <x v="45"/>
    <n v="0"/>
    <x v="2"/>
    <x v="40"/>
    <x v="0"/>
    <x v="5"/>
    <s v="MLAQSEI ID Equity"/>
    <x v="49"/>
    <x v="1"/>
    <x v="12"/>
    <x v="0"/>
    <x v="0"/>
  </r>
  <r>
    <s v="IE00BD08G390"/>
    <x v="46"/>
    <n v="0"/>
    <x v="2"/>
    <x v="41"/>
    <x v="0"/>
    <x v="5"/>
    <s v="MLAQSEI ID Equity"/>
    <x v="49"/>
    <x v="1"/>
    <x v="12"/>
    <x v="0"/>
    <x v="0"/>
  </r>
  <r>
    <s v="IE00BD08G390"/>
    <x v="47"/>
    <n v="5"/>
    <x v="2"/>
    <x v="42"/>
    <x v="2"/>
    <x v="2"/>
    <s v="MLAQSEI ID Equity"/>
    <x v="49"/>
    <x v="1"/>
    <x v="12"/>
    <x v="0"/>
    <x v="0"/>
  </r>
  <r>
    <s v="IE00BD08G390"/>
    <x v="48"/>
    <n v="5"/>
    <x v="2"/>
    <x v="43"/>
    <x v="2"/>
    <x v="2"/>
    <s v="MLAQSEI ID Equity"/>
    <x v="49"/>
    <x v="1"/>
    <x v="12"/>
    <x v="0"/>
    <x v="0"/>
  </r>
  <r>
    <s v="IE00BD08G390"/>
    <x v="49"/>
    <n v="5"/>
    <x v="2"/>
    <x v="44"/>
    <x v="2"/>
    <x v="0"/>
    <s v="MLAQSEI ID Equity"/>
    <x v="49"/>
    <x v="1"/>
    <x v="12"/>
    <x v="0"/>
    <x v="0"/>
  </r>
  <r>
    <s v="IE00BD08G390"/>
    <x v="50"/>
    <n v="5"/>
    <x v="2"/>
    <x v="45"/>
    <x v="2"/>
    <x v="0"/>
    <s v="MLAQSEI ID Equity"/>
    <x v="49"/>
    <x v="1"/>
    <x v="12"/>
    <x v="0"/>
    <x v="0"/>
  </r>
  <r>
    <s v="IE00BD08G390"/>
    <x v="51"/>
    <n v="4"/>
    <x v="2"/>
    <x v="46"/>
    <x v="2"/>
    <x v="4"/>
    <s v="MLAQSEI ID Equity"/>
    <x v="49"/>
    <x v="1"/>
    <x v="12"/>
    <x v="0"/>
    <x v="0"/>
  </r>
  <r>
    <s v="IE00BD08G390"/>
    <x v="52"/>
    <n v="4"/>
    <x v="2"/>
    <x v="47"/>
    <x v="2"/>
    <x v="4"/>
    <s v="MLAQSEI ID Equity"/>
    <x v="49"/>
    <x v="1"/>
    <x v="12"/>
    <x v="0"/>
    <x v="0"/>
  </r>
  <r>
    <s v="IE00BD08G390"/>
    <x v="53"/>
    <n v="0"/>
    <x v="2"/>
    <x v="48"/>
    <x v="2"/>
    <x v="5"/>
    <s v="MLAQSEI ID Equity"/>
    <x v="49"/>
    <x v="1"/>
    <x v="12"/>
    <x v="0"/>
    <x v="0"/>
  </r>
  <r>
    <s v="IE00BD08G390"/>
    <x v="54"/>
    <n v="0"/>
    <x v="2"/>
    <x v="49"/>
    <x v="2"/>
    <x v="5"/>
    <s v="MLAQSEI ID Equity"/>
    <x v="49"/>
    <x v="1"/>
    <x v="12"/>
    <x v="0"/>
    <x v="0"/>
  </r>
  <r>
    <s v="IE00BD08G390"/>
    <x v="55"/>
    <n v="5"/>
    <x v="2"/>
    <x v="50"/>
    <x v="3"/>
    <x v="2"/>
    <s v="MLAQSEI ID Equity"/>
    <x v="49"/>
    <x v="1"/>
    <x v="12"/>
    <x v="3"/>
    <x v="0"/>
  </r>
  <r>
    <s v="IE00BD08G390"/>
    <x v="56"/>
    <n v="5"/>
    <x v="2"/>
    <x v="51"/>
    <x v="3"/>
    <x v="2"/>
    <s v="MLAQSEI ID Equity"/>
    <x v="49"/>
    <x v="1"/>
    <x v="12"/>
    <x v="3"/>
    <x v="0"/>
  </r>
  <r>
    <s v="IE00BD08G390"/>
    <x v="57"/>
    <n v="5"/>
    <x v="2"/>
    <x v="52"/>
    <x v="3"/>
    <x v="0"/>
    <s v="MLAQSEI ID Equity"/>
    <x v="49"/>
    <x v="1"/>
    <x v="12"/>
    <x v="3"/>
    <x v="0"/>
  </r>
  <r>
    <s v="IE00BD08G390"/>
    <x v="58"/>
    <n v="5"/>
    <x v="2"/>
    <x v="53"/>
    <x v="3"/>
    <x v="0"/>
    <s v="MLAQSEI ID Equity"/>
    <x v="49"/>
    <x v="1"/>
    <x v="12"/>
    <x v="3"/>
    <x v="0"/>
  </r>
  <r>
    <s v="IE00BD08G390"/>
    <x v="59"/>
    <n v="4"/>
    <x v="2"/>
    <x v="54"/>
    <x v="3"/>
    <x v="4"/>
    <s v="MLAQSEI ID Equity"/>
    <x v="49"/>
    <x v="1"/>
    <x v="12"/>
    <x v="3"/>
    <x v="0"/>
  </r>
  <r>
    <s v="IE00BD08G390"/>
    <x v="60"/>
    <n v="4"/>
    <x v="2"/>
    <x v="55"/>
    <x v="3"/>
    <x v="4"/>
    <s v="MLAQSEI ID Equity"/>
    <x v="49"/>
    <x v="1"/>
    <x v="12"/>
    <x v="3"/>
    <x v="0"/>
  </r>
  <r>
    <s v="IE00BD08G390"/>
    <x v="61"/>
    <n v="0"/>
    <x v="2"/>
    <x v="56"/>
    <x v="3"/>
    <x v="5"/>
    <s v="MLAQSEI ID Equity"/>
    <x v="49"/>
    <x v="1"/>
    <x v="12"/>
    <x v="3"/>
    <x v="0"/>
  </r>
  <r>
    <s v="IE00BD08G390"/>
    <x v="62"/>
    <n v="0"/>
    <x v="2"/>
    <x v="57"/>
    <x v="3"/>
    <x v="5"/>
    <s v="MLAQSEI ID Equity"/>
    <x v="49"/>
    <x v="1"/>
    <x v="12"/>
    <x v="3"/>
    <x v="0"/>
  </r>
  <r>
    <s v="IE00B96BJC40"/>
    <x v="31"/>
    <n v="0"/>
    <x v="2"/>
    <x v="26"/>
    <x v="1"/>
    <x v="2"/>
    <s v="MUHCHAS ID Equity"/>
    <x v="48"/>
    <x v="3"/>
    <x v="11"/>
    <x v="2"/>
    <x v="0"/>
  </r>
  <r>
    <s v="IE00B96BJC40"/>
    <x v="32"/>
    <n v="0"/>
    <x v="2"/>
    <x v="27"/>
    <x v="1"/>
    <x v="2"/>
    <s v="MUHCHAS ID Equity"/>
    <x v="48"/>
    <x v="3"/>
    <x v="11"/>
    <x v="2"/>
    <x v="0"/>
  </r>
  <r>
    <s v="IE00B96BJC40"/>
    <x v="33"/>
    <n v="0"/>
    <x v="2"/>
    <x v="28"/>
    <x v="1"/>
    <x v="0"/>
    <s v="MUHCHAS ID Equity"/>
    <x v="48"/>
    <x v="3"/>
    <x v="11"/>
    <x v="2"/>
    <x v="0"/>
  </r>
  <r>
    <s v="IE00B96BJC40"/>
    <x v="34"/>
    <n v="0"/>
    <x v="2"/>
    <x v="29"/>
    <x v="1"/>
    <x v="0"/>
    <s v="MUHCHAS ID Equity"/>
    <x v="48"/>
    <x v="3"/>
    <x v="11"/>
    <x v="2"/>
    <x v="0"/>
  </r>
  <r>
    <s v="IE00B96BJC40"/>
    <x v="35"/>
    <n v="4"/>
    <x v="2"/>
    <x v="30"/>
    <x v="1"/>
    <x v="4"/>
    <s v="MUHCHAS ID Equity"/>
    <x v="48"/>
    <x v="3"/>
    <x v="11"/>
    <x v="2"/>
    <x v="0"/>
  </r>
  <r>
    <s v="IE00B96BJC40"/>
    <x v="36"/>
    <n v="5"/>
    <x v="2"/>
    <x v="31"/>
    <x v="1"/>
    <x v="4"/>
    <s v="MUHCHAS ID Equity"/>
    <x v="48"/>
    <x v="3"/>
    <x v="11"/>
    <x v="2"/>
    <x v="0"/>
  </r>
  <r>
    <s v="IE00B96BJC40"/>
    <x v="37"/>
    <n v="3"/>
    <x v="2"/>
    <x v="32"/>
    <x v="1"/>
    <x v="5"/>
    <s v="MUHCHAS ID Equity"/>
    <x v="48"/>
    <x v="3"/>
    <x v="11"/>
    <x v="2"/>
    <x v="0"/>
  </r>
  <r>
    <s v="IE00B96BJC40"/>
    <x v="38"/>
    <n v="5"/>
    <x v="2"/>
    <x v="33"/>
    <x v="1"/>
    <x v="5"/>
    <s v="MUHCHAS ID Equity"/>
    <x v="48"/>
    <x v="3"/>
    <x v="11"/>
    <x v="2"/>
    <x v="0"/>
  </r>
  <r>
    <s v="IE00B5BHGW80"/>
    <x v="39"/>
    <n v="0"/>
    <x v="2"/>
    <x v="34"/>
    <x v="0"/>
    <x v="2"/>
    <s v="MUZSDEA ID Equity"/>
    <x v="46"/>
    <x v="3"/>
    <x v="11"/>
    <x v="0"/>
    <x v="0"/>
  </r>
  <r>
    <s v="IE00B5BHGW80"/>
    <x v="40"/>
    <n v="0"/>
    <x v="2"/>
    <x v="35"/>
    <x v="0"/>
    <x v="2"/>
    <s v="MUZSDEA ID Equity"/>
    <x v="46"/>
    <x v="3"/>
    <x v="11"/>
    <x v="0"/>
    <x v="0"/>
  </r>
  <r>
    <s v="IE00B5BHGW80"/>
    <x v="41"/>
    <n v="0"/>
    <x v="2"/>
    <x v="36"/>
    <x v="0"/>
    <x v="0"/>
    <s v="MUZSDEA ID Equity"/>
    <x v="46"/>
    <x v="3"/>
    <x v="11"/>
    <x v="0"/>
    <x v="0"/>
  </r>
  <r>
    <s v="IE00B5BHGW80"/>
    <x v="42"/>
    <n v="0"/>
    <x v="2"/>
    <x v="37"/>
    <x v="0"/>
    <x v="0"/>
    <s v="MUZSDEA ID Equity"/>
    <x v="46"/>
    <x v="3"/>
    <x v="11"/>
    <x v="0"/>
    <x v="0"/>
  </r>
  <r>
    <s v="IE00B5BHGW80"/>
    <x v="43"/>
    <n v="4"/>
    <x v="2"/>
    <x v="38"/>
    <x v="0"/>
    <x v="4"/>
    <s v="MUZSDEA ID Equity"/>
    <x v="46"/>
    <x v="3"/>
    <x v="11"/>
    <x v="0"/>
    <x v="0"/>
  </r>
  <r>
    <s v="IE00B5BHGW80"/>
    <x v="44"/>
    <n v="5"/>
    <x v="2"/>
    <x v="39"/>
    <x v="0"/>
    <x v="4"/>
    <s v="MUZSDEA ID Equity"/>
    <x v="46"/>
    <x v="3"/>
    <x v="11"/>
    <x v="0"/>
    <x v="0"/>
  </r>
  <r>
    <s v="IE00B5BHGW80"/>
    <x v="45"/>
    <n v="3"/>
    <x v="2"/>
    <x v="40"/>
    <x v="0"/>
    <x v="5"/>
    <s v="MUZSDEA ID Equity"/>
    <x v="46"/>
    <x v="3"/>
    <x v="11"/>
    <x v="0"/>
    <x v="0"/>
  </r>
  <r>
    <s v="IE00B5BHGW80"/>
    <x v="46"/>
    <n v="5"/>
    <x v="2"/>
    <x v="41"/>
    <x v="0"/>
    <x v="5"/>
    <s v="MUZSDEA ID Equity"/>
    <x v="46"/>
    <x v="3"/>
    <x v="11"/>
    <x v="0"/>
    <x v="0"/>
  </r>
  <r>
    <s v="IE00B685HQ37"/>
    <x v="47"/>
    <n v="0"/>
    <x v="2"/>
    <x v="42"/>
    <x v="2"/>
    <x v="2"/>
    <s v="MUZSDGI ID Equity"/>
    <x v="47"/>
    <x v="3"/>
    <x v="11"/>
    <x v="5"/>
    <x v="0"/>
  </r>
  <r>
    <s v="IE00B685HQ37"/>
    <x v="48"/>
    <n v="0"/>
    <x v="2"/>
    <x v="43"/>
    <x v="2"/>
    <x v="2"/>
    <s v="MUZSDGI ID Equity"/>
    <x v="47"/>
    <x v="3"/>
    <x v="11"/>
    <x v="5"/>
    <x v="0"/>
  </r>
  <r>
    <s v="IE00B685HQ37"/>
    <x v="49"/>
    <n v="0"/>
    <x v="2"/>
    <x v="44"/>
    <x v="2"/>
    <x v="0"/>
    <s v="MUZSDGI ID Equity"/>
    <x v="47"/>
    <x v="3"/>
    <x v="11"/>
    <x v="5"/>
    <x v="0"/>
  </r>
  <r>
    <s v="IE00B685HQ37"/>
    <x v="50"/>
    <n v="0"/>
    <x v="2"/>
    <x v="45"/>
    <x v="2"/>
    <x v="0"/>
    <s v="MUZSDGI ID Equity"/>
    <x v="47"/>
    <x v="3"/>
    <x v="11"/>
    <x v="5"/>
    <x v="0"/>
  </r>
  <r>
    <s v="IE00B685HQ37"/>
    <x v="51"/>
    <n v="4"/>
    <x v="2"/>
    <x v="46"/>
    <x v="2"/>
    <x v="4"/>
    <s v="MUZSDGI ID Equity"/>
    <x v="47"/>
    <x v="3"/>
    <x v="11"/>
    <x v="5"/>
    <x v="0"/>
  </r>
  <r>
    <s v="IE00B685HQ37"/>
    <x v="52"/>
    <n v="5"/>
    <x v="2"/>
    <x v="47"/>
    <x v="2"/>
    <x v="4"/>
    <s v="MUZSDGI ID Equity"/>
    <x v="47"/>
    <x v="3"/>
    <x v="11"/>
    <x v="5"/>
    <x v="0"/>
  </r>
  <r>
    <s v="IE00B685HQ37"/>
    <x v="53"/>
    <n v="3"/>
    <x v="2"/>
    <x v="48"/>
    <x v="2"/>
    <x v="5"/>
    <s v="MUZSDGI ID Equity"/>
    <x v="47"/>
    <x v="3"/>
    <x v="11"/>
    <x v="5"/>
    <x v="0"/>
  </r>
  <r>
    <s v="IE00B685HQ37"/>
    <x v="54"/>
    <n v="5"/>
    <x v="2"/>
    <x v="49"/>
    <x v="2"/>
    <x v="5"/>
    <s v="MUZSDGI ID Equity"/>
    <x v="47"/>
    <x v="3"/>
    <x v="11"/>
    <x v="5"/>
    <x v="0"/>
  </r>
  <r>
    <s v="IE00B59XD059"/>
    <x v="55"/>
    <n v="0"/>
    <x v="2"/>
    <x v="50"/>
    <x v="3"/>
    <x v="2"/>
    <s v="MUZSDUA ID Equity"/>
    <x v="45"/>
    <x v="3"/>
    <x v="11"/>
    <x v="3"/>
    <x v="0"/>
  </r>
  <r>
    <s v="IE00B59XD059"/>
    <x v="56"/>
    <n v="0"/>
    <x v="2"/>
    <x v="51"/>
    <x v="3"/>
    <x v="2"/>
    <s v="MUZSDUA ID Equity"/>
    <x v="45"/>
    <x v="3"/>
    <x v="11"/>
    <x v="3"/>
    <x v="0"/>
  </r>
  <r>
    <s v="IE00B59XD059"/>
    <x v="57"/>
    <n v="0"/>
    <x v="2"/>
    <x v="52"/>
    <x v="3"/>
    <x v="0"/>
    <s v="MUZSDUA ID Equity"/>
    <x v="45"/>
    <x v="3"/>
    <x v="11"/>
    <x v="3"/>
    <x v="0"/>
  </r>
  <r>
    <s v="IE00B59XD059"/>
    <x v="58"/>
    <n v="0"/>
    <x v="2"/>
    <x v="53"/>
    <x v="3"/>
    <x v="0"/>
    <s v="MUZSDUA ID Equity"/>
    <x v="45"/>
    <x v="3"/>
    <x v="11"/>
    <x v="3"/>
    <x v="0"/>
  </r>
  <r>
    <s v="IE00B59XD059"/>
    <x v="59"/>
    <n v="4"/>
    <x v="2"/>
    <x v="54"/>
    <x v="3"/>
    <x v="4"/>
    <s v="MUZSDUA ID Equity"/>
    <x v="45"/>
    <x v="3"/>
    <x v="11"/>
    <x v="3"/>
    <x v="0"/>
  </r>
  <r>
    <s v="IE00B59XD059"/>
    <x v="60"/>
    <n v="5"/>
    <x v="2"/>
    <x v="55"/>
    <x v="3"/>
    <x v="4"/>
    <s v="MUZSDUA ID Equity"/>
    <x v="45"/>
    <x v="3"/>
    <x v="11"/>
    <x v="3"/>
    <x v="0"/>
  </r>
  <r>
    <s v="IE00B59XD059"/>
    <x v="61"/>
    <n v="3"/>
    <x v="2"/>
    <x v="56"/>
    <x v="3"/>
    <x v="5"/>
    <s v="MUZSDUA ID Equity"/>
    <x v="45"/>
    <x v="3"/>
    <x v="11"/>
    <x v="3"/>
    <x v="0"/>
  </r>
  <r>
    <s v="IE00B59XD059"/>
    <x v="62"/>
    <n v="5"/>
    <x v="2"/>
    <x v="57"/>
    <x v="3"/>
    <x v="5"/>
    <s v="MUZSDUA ID Equity"/>
    <x v="45"/>
    <x v="3"/>
    <x v="11"/>
    <x v="3"/>
    <x v="0"/>
  </r>
  <r>
    <s v="SingleBond"/>
    <x v="31"/>
    <n v="0"/>
    <x v="2"/>
    <x v="26"/>
    <x v="1"/>
    <x v="2"/>
    <s v="SingleBond"/>
    <x v="100"/>
    <x v="3"/>
    <x v="18"/>
    <x v="0"/>
    <x v="0"/>
  </r>
  <r>
    <s v="SingleBond"/>
    <x v="32"/>
    <n v="0"/>
    <x v="2"/>
    <x v="27"/>
    <x v="1"/>
    <x v="2"/>
    <s v="SingleBond"/>
    <x v="100"/>
    <x v="3"/>
    <x v="18"/>
    <x v="0"/>
    <x v="0"/>
  </r>
  <r>
    <s v="SingleBond"/>
    <x v="33"/>
    <n v="0"/>
    <x v="2"/>
    <x v="28"/>
    <x v="1"/>
    <x v="0"/>
    <s v="SingleBond"/>
    <x v="100"/>
    <x v="3"/>
    <x v="18"/>
    <x v="0"/>
    <x v="0"/>
  </r>
  <r>
    <s v="SingleBond"/>
    <x v="34"/>
    <n v="0"/>
    <x v="2"/>
    <x v="29"/>
    <x v="1"/>
    <x v="0"/>
    <s v="SingleBond"/>
    <x v="100"/>
    <x v="3"/>
    <x v="18"/>
    <x v="0"/>
    <x v="0"/>
  </r>
  <r>
    <s v="SingleBond"/>
    <x v="35"/>
    <n v="0"/>
    <x v="2"/>
    <x v="30"/>
    <x v="1"/>
    <x v="4"/>
    <s v="SingleBond"/>
    <x v="100"/>
    <x v="3"/>
    <x v="18"/>
    <x v="0"/>
    <x v="0"/>
  </r>
  <r>
    <s v="SingleBond"/>
    <x v="36"/>
    <n v="0"/>
    <x v="2"/>
    <x v="31"/>
    <x v="1"/>
    <x v="4"/>
    <s v="SingleBond"/>
    <x v="100"/>
    <x v="3"/>
    <x v="18"/>
    <x v="0"/>
    <x v="0"/>
  </r>
  <r>
    <s v="SingleBond"/>
    <x v="37"/>
    <n v="0"/>
    <x v="2"/>
    <x v="32"/>
    <x v="1"/>
    <x v="5"/>
    <s v="SingleBond"/>
    <x v="100"/>
    <x v="3"/>
    <x v="18"/>
    <x v="0"/>
    <x v="0"/>
  </r>
  <r>
    <s v="SingleBond"/>
    <x v="38"/>
    <n v="0"/>
    <x v="2"/>
    <x v="33"/>
    <x v="1"/>
    <x v="5"/>
    <s v="SingleBond"/>
    <x v="100"/>
    <x v="3"/>
    <x v="18"/>
    <x v="0"/>
    <x v="0"/>
  </r>
  <r>
    <s v="SingleBond"/>
    <x v="39"/>
    <n v="0"/>
    <x v="2"/>
    <x v="34"/>
    <x v="0"/>
    <x v="2"/>
    <s v="SingleBond"/>
    <x v="100"/>
    <x v="3"/>
    <x v="18"/>
    <x v="0"/>
    <x v="0"/>
  </r>
  <r>
    <s v="SingleBond"/>
    <x v="40"/>
    <n v="0"/>
    <x v="2"/>
    <x v="35"/>
    <x v="0"/>
    <x v="2"/>
    <s v="SingleBond"/>
    <x v="100"/>
    <x v="3"/>
    <x v="18"/>
    <x v="0"/>
    <x v="0"/>
  </r>
  <r>
    <s v="SingleBond"/>
    <x v="41"/>
    <n v="0"/>
    <x v="2"/>
    <x v="36"/>
    <x v="0"/>
    <x v="0"/>
    <s v="SingleBond"/>
    <x v="100"/>
    <x v="3"/>
    <x v="18"/>
    <x v="0"/>
    <x v="0"/>
  </r>
  <r>
    <s v="SingleBond"/>
    <x v="42"/>
    <n v="0"/>
    <x v="2"/>
    <x v="37"/>
    <x v="0"/>
    <x v="0"/>
    <s v="SingleBond"/>
    <x v="100"/>
    <x v="3"/>
    <x v="18"/>
    <x v="0"/>
    <x v="0"/>
  </r>
  <r>
    <s v="SingleBond"/>
    <x v="43"/>
    <n v="0"/>
    <x v="2"/>
    <x v="38"/>
    <x v="0"/>
    <x v="4"/>
    <s v="SingleBond"/>
    <x v="100"/>
    <x v="3"/>
    <x v="18"/>
    <x v="0"/>
    <x v="0"/>
  </r>
  <r>
    <s v="SingleBond"/>
    <x v="44"/>
    <n v="0"/>
    <x v="2"/>
    <x v="39"/>
    <x v="0"/>
    <x v="4"/>
    <s v="SingleBond"/>
    <x v="100"/>
    <x v="3"/>
    <x v="18"/>
    <x v="0"/>
    <x v="0"/>
  </r>
  <r>
    <s v="SingleBond"/>
    <x v="45"/>
    <n v="0"/>
    <x v="2"/>
    <x v="40"/>
    <x v="0"/>
    <x v="5"/>
    <s v="SingleBond"/>
    <x v="100"/>
    <x v="3"/>
    <x v="18"/>
    <x v="0"/>
    <x v="0"/>
  </r>
  <r>
    <s v="SingleBond"/>
    <x v="46"/>
    <n v="0"/>
    <x v="2"/>
    <x v="41"/>
    <x v="0"/>
    <x v="5"/>
    <s v="SingleBond"/>
    <x v="100"/>
    <x v="3"/>
    <x v="18"/>
    <x v="0"/>
    <x v="0"/>
  </r>
  <r>
    <s v="SingleBond"/>
    <x v="47"/>
    <n v="0"/>
    <x v="2"/>
    <x v="42"/>
    <x v="2"/>
    <x v="2"/>
    <s v="SingleBond"/>
    <x v="100"/>
    <x v="3"/>
    <x v="18"/>
    <x v="5"/>
    <x v="0"/>
  </r>
  <r>
    <s v="SingleBond"/>
    <x v="48"/>
    <n v="0"/>
    <x v="2"/>
    <x v="43"/>
    <x v="2"/>
    <x v="2"/>
    <s v="SingleBond"/>
    <x v="100"/>
    <x v="3"/>
    <x v="18"/>
    <x v="5"/>
    <x v="0"/>
  </r>
  <r>
    <s v="SingleBond"/>
    <x v="49"/>
    <n v="0"/>
    <x v="2"/>
    <x v="44"/>
    <x v="2"/>
    <x v="0"/>
    <s v="SingleBond"/>
    <x v="100"/>
    <x v="3"/>
    <x v="18"/>
    <x v="5"/>
    <x v="0"/>
  </r>
  <r>
    <s v="SingleBond"/>
    <x v="50"/>
    <n v="0"/>
    <x v="2"/>
    <x v="45"/>
    <x v="2"/>
    <x v="0"/>
    <s v="SingleBond"/>
    <x v="100"/>
    <x v="3"/>
    <x v="18"/>
    <x v="5"/>
    <x v="0"/>
  </r>
  <r>
    <s v="SingleBond"/>
    <x v="51"/>
    <n v="0"/>
    <x v="2"/>
    <x v="46"/>
    <x v="2"/>
    <x v="4"/>
    <s v="SingleBond"/>
    <x v="100"/>
    <x v="3"/>
    <x v="18"/>
    <x v="5"/>
    <x v="0"/>
  </r>
  <r>
    <s v="SingleBond"/>
    <x v="52"/>
    <n v="0"/>
    <x v="2"/>
    <x v="47"/>
    <x v="2"/>
    <x v="4"/>
    <s v="SingleBond"/>
    <x v="100"/>
    <x v="3"/>
    <x v="18"/>
    <x v="5"/>
    <x v="0"/>
  </r>
  <r>
    <s v="SingleBond"/>
    <x v="53"/>
    <n v="0"/>
    <x v="2"/>
    <x v="48"/>
    <x v="2"/>
    <x v="5"/>
    <s v="SingleBond"/>
    <x v="100"/>
    <x v="3"/>
    <x v="18"/>
    <x v="5"/>
    <x v="0"/>
  </r>
  <r>
    <s v="SingleBond"/>
    <x v="54"/>
    <n v="0"/>
    <x v="2"/>
    <x v="49"/>
    <x v="2"/>
    <x v="5"/>
    <s v="SingleBond"/>
    <x v="100"/>
    <x v="3"/>
    <x v="18"/>
    <x v="5"/>
    <x v="0"/>
  </r>
  <r>
    <s v="SingleBond"/>
    <x v="55"/>
    <n v="0"/>
    <x v="2"/>
    <x v="50"/>
    <x v="3"/>
    <x v="2"/>
    <s v="SingleBond"/>
    <x v="100"/>
    <x v="3"/>
    <x v="18"/>
    <x v="0"/>
    <x v="0"/>
  </r>
  <r>
    <s v="SingleBond"/>
    <x v="56"/>
    <n v="0"/>
    <x v="2"/>
    <x v="51"/>
    <x v="3"/>
    <x v="2"/>
    <s v="SingleBond"/>
    <x v="100"/>
    <x v="3"/>
    <x v="18"/>
    <x v="0"/>
    <x v="0"/>
  </r>
  <r>
    <s v="SingleBond"/>
    <x v="57"/>
    <n v="0"/>
    <x v="2"/>
    <x v="52"/>
    <x v="3"/>
    <x v="0"/>
    <s v="SingleBond"/>
    <x v="100"/>
    <x v="3"/>
    <x v="18"/>
    <x v="0"/>
    <x v="0"/>
  </r>
  <r>
    <s v="SingleBond"/>
    <x v="58"/>
    <n v="0"/>
    <x v="2"/>
    <x v="53"/>
    <x v="3"/>
    <x v="0"/>
    <s v="SingleBond"/>
    <x v="100"/>
    <x v="3"/>
    <x v="18"/>
    <x v="0"/>
    <x v="0"/>
  </r>
  <r>
    <s v="SingleBond"/>
    <x v="59"/>
    <n v="0"/>
    <x v="2"/>
    <x v="54"/>
    <x v="3"/>
    <x v="4"/>
    <s v="SingleBond"/>
    <x v="100"/>
    <x v="3"/>
    <x v="18"/>
    <x v="0"/>
    <x v="0"/>
  </r>
  <r>
    <s v="SingleBond"/>
    <x v="60"/>
    <n v="0"/>
    <x v="2"/>
    <x v="55"/>
    <x v="3"/>
    <x v="4"/>
    <s v="SingleBond"/>
    <x v="100"/>
    <x v="3"/>
    <x v="18"/>
    <x v="0"/>
    <x v="0"/>
  </r>
  <r>
    <s v="SingleBond"/>
    <x v="61"/>
    <n v="0"/>
    <x v="2"/>
    <x v="56"/>
    <x v="3"/>
    <x v="5"/>
    <s v="SingleBond"/>
    <x v="100"/>
    <x v="3"/>
    <x v="18"/>
    <x v="0"/>
    <x v="0"/>
  </r>
  <r>
    <s v="SingleBond"/>
    <x v="62"/>
    <n v="0"/>
    <x v="2"/>
    <x v="57"/>
    <x v="3"/>
    <x v="5"/>
    <s v="SingleBond"/>
    <x v="100"/>
    <x v="3"/>
    <x v="18"/>
    <x v="0"/>
    <x v="0"/>
  </r>
  <r>
    <s v="SingleHedgeFund"/>
    <x v="31"/>
    <n v="0"/>
    <x v="2"/>
    <x v="26"/>
    <x v="1"/>
    <x v="2"/>
    <s v="SingleHedgeFund"/>
    <x v="101"/>
    <x v="1"/>
    <x v="20"/>
    <x v="2"/>
    <x v="0"/>
  </r>
  <r>
    <s v="SingleHedgeFund"/>
    <x v="32"/>
    <n v="0"/>
    <x v="2"/>
    <x v="27"/>
    <x v="1"/>
    <x v="2"/>
    <s v="SingleHedgeFund"/>
    <x v="101"/>
    <x v="1"/>
    <x v="20"/>
    <x v="2"/>
    <x v="0"/>
  </r>
  <r>
    <s v="SingleHedgeFund"/>
    <x v="33"/>
    <n v="0"/>
    <x v="2"/>
    <x v="28"/>
    <x v="1"/>
    <x v="0"/>
    <s v="SingleHedgeFund"/>
    <x v="101"/>
    <x v="1"/>
    <x v="20"/>
    <x v="2"/>
    <x v="0"/>
  </r>
  <r>
    <s v="SingleHedgeFund"/>
    <x v="34"/>
    <n v="0"/>
    <x v="2"/>
    <x v="29"/>
    <x v="1"/>
    <x v="0"/>
    <s v="SingleHedgeFund"/>
    <x v="101"/>
    <x v="1"/>
    <x v="20"/>
    <x v="2"/>
    <x v="0"/>
  </r>
  <r>
    <s v="SingleHedgeFund"/>
    <x v="35"/>
    <n v="0"/>
    <x v="2"/>
    <x v="30"/>
    <x v="1"/>
    <x v="4"/>
    <s v="SingleHedgeFund"/>
    <x v="101"/>
    <x v="1"/>
    <x v="20"/>
    <x v="2"/>
    <x v="0"/>
  </r>
  <r>
    <s v="SingleHedgeFund"/>
    <x v="36"/>
    <n v="0"/>
    <x v="2"/>
    <x v="31"/>
    <x v="1"/>
    <x v="4"/>
    <s v="SingleHedgeFund"/>
    <x v="101"/>
    <x v="1"/>
    <x v="20"/>
    <x v="2"/>
    <x v="0"/>
  </r>
  <r>
    <s v="SingleHedgeFund"/>
    <x v="37"/>
    <n v="0"/>
    <x v="2"/>
    <x v="32"/>
    <x v="1"/>
    <x v="5"/>
    <s v="SingleHedgeFund"/>
    <x v="101"/>
    <x v="1"/>
    <x v="20"/>
    <x v="2"/>
    <x v="0"/>
  </r>
  <r>
    <s v="SingleHedgeFund"/>
    <x v="38"/>
    <n v="0"/>
    <x v="2"/>
    <x v="33"/>
    <x v="1"/>
    <x v="5"/>
    <s v="SingleHedgeFund"/>
    <x v="101"/>
    <x v="1"/>
    <x v="20"/>
    <x v="2"/>
    <x v="0"/>
  </r>
  <r>
    <s v="SingleHedgeFund"/>
    <x v="39"/>
    <n v="0"/>
    <x v="2"/>
    <x v="34"/>
    <x v="0"/>
    <x v="2"/>
    <s v="SingleHedgeFund"/>
    <x v="101"/>
    <x v="1"/>
    <x v="20"/>
    <x v="0"/>
    <x v="0"/>
  </r>
  <r>
    <s v="SingleHedgeFund"/>
    <x v="40"/>
    <n v="0"/>
    <x v="2"/>
    <x v="35"/>
    <x v="0"/>
    <x v="2"/>
    <s v="SingleHedgeFund"/>
    <x v="101"/>
    <x v="1"/>
    <x v="20"/>
    <x v="0"/>
    <x v="0"/>
  </r>
  <r>
    <s v="SingleHedgeFund"/>
    <x v="41"/>
    <n v="0"/>
    <x v="2"/>
    <x v="36"/>
    <x v="0"/>
    <x v="0"/>
    <s v="SingleHedgeFund"/>
    <x v="101"/>
    <x v="1"/>
    <x v="20"/>
    <x v="0"/>
    <x v="0"/>
  </r>
  <r>
    <s v="SingleHedgeFund"/>
    <x v="42"/>
    <n v="0"/>
    <x v="2"/>
    <x v="37"/>
    <x v="0"/>
    <x v="0"/>
    <s v="SingleHedgeFund"/>
    <x v="101"/>
    <x v="1"/>
    <x v="20"/>
    <x v="0"/>
    <x v="0"/>
  </r>
  <r>
    <s v="SingleHedgeFund"/>
    <x v="43"/>
    <n v="0"/>
    <x v="2"/>
    <x v="38"/>
    <x v="0"/>
    <x v="4"/>
    <s v="SingleHedgeFund"/>
    <x v="101"/>
    <x v="1"/>
    <x v="20"/>
    <x v="0"/>
    <x v="0"/>
  </r>
  <r>
    <s v="SingleHedgeFund"/>
    <x v="44"/>
    <n v="0"/>
    <x v="2"/>
    <x v="39"/>
    <x v="0"/>
    <x v="4"/>
    <s v="SingleHedgeFund"/>
    <x v="101"/>
    <x v="1"/>
    <x v="20"/>
    <x v="0"/>
    <x v="0"/>
  </r>
  <r>
    <s v="SingleHedgeFund"/>
    <x v="45"/>
    <n v="0"/>
    <x v="2"/>
    <x v="40"/>
    <x v="0"/>
    <x v="5"/>
    <s v="SingleHedgeFund"/>
    <x v="101"/>
    <x v="1"/>
    <x v="20"/>
    <x v="0"/>
    <x v="0"/>
  </r>
  <r>
    <s v="SingleHedgeFund"/>
    <x v="46"/>
    <n v="0"/>
    <x v="2"/>
    <x v="41"/>
    <x v="0"/>
    <x v="5"/>
    <s v="SingleHedgeFund"/>
    <x v="101"/>
    <x v="1"/>
    <x v="20"/>
    <x v="0"/>
    <x v="0"/>
  </r>
  <r>
    <s v="SingleHedgeFund"/>
    <x v="47"/>
    <n v="0"/>
    <x v="2"/>
    <x v="42"/>
    <x v="2"/>
    <x v="2"/>
    <s v="SingleHedgeFund"/>
    <x v="101"/>
    <x v="1"/>
    <x v="20"/>
    <x v="5"/>
    <x v="0"/>
  </r>
  <r>
    <s v="SingleHedgeFund"/>
    <x v="48"/>
    <n v="0"/>
    <x v="2"/>
    <x v="43"/>
    <x v="2"/>
    <x v="2"/>
    <s v="SingleHedgeFund"/>
    <x v="101"/>
    <x v="1"/>
    <x v="20"/>
    <x v="5"/>
    <x v="0"/>
  </r>
  <r>
    <s v="SingleHedgeFund"/>
    <x v="49"/>
    <n v="0"/>
    <x v="2"/>
    <x v="44"/>
    <x v="2"/>
    <x v="0"/>
    <s v="SingleHedgeFund"/>
    <x v="101"/>
    <x v="1"/>
    <x v="20"/>
    <x v="5"/>
    <x v="0"/>
  </r>
  <r>
    <s v="SingleHedgeFund"/>
    <x v="50"/>
    <n v="0"/>
    <x v="2"/>
    <x v="45"/>
    <x v="2"/>
    <x v="0"/>
    <s v="SingleHedgeFund"/>
    <x v="101"/>
    <x v="1"/>
    <x v="20"/>
    <x v="5"/>
    <x v="0"/>
  </r>
  <r>
    <s v="SingleHedgeFund"/>
    <x v="51"/>
    <n v="0"/>
    <x v="2"/>
    <x v="46"/>
    <x v="2"/>
    <x v="4"/>
    <s v="SingleHedgeFund"/>
    <x v="101"/>
    <x v="1"/>
    <x v="20"/>
    <x v="5"/>
    <x v="0"/>
  </r>
  <r>
    <s v="SingleHedgeFund"/>
    <x v="52"/>
    <n v="0"/>
    <x v="2"/>
    <x v="47"/>
    <x v="2"/>
    <x v="4"/>
    <s v="SingleHedgeFund"/>
    <x v="101"/>
    <x v="1"/>
    <x v="20"/>
    <x v="5"/>
    <x v="0"/>
  </r>
  <r>
    <s v="SingleHedgeFund"/>
    <x v="53"/>
    <n v="0"/>
    <x v="2"/>
    <x v="48"/>
    <x v="2"/>
    <x v="5"/>
    <s v="SingleHedgeFund"/>
    <x v="101"/>
    <x v="1"/>
    <x v="20"/>
    <x v="5"/>
    <x v="0"/>
  </r>
  <r>
    <s v="SingleHedgeFund"/>
    <x v="54"/>
    <n v="0"/>
    <x v="2"/>
    <x v="49"/>
    <x v="2"/>
    <x v="5"/>
    <s v="SingleHedgeFund"/>
    <x v="101"/>
    <x v="1"/>
    <x v="20"/>
    <x v="5"/>
    <x v="0"/>
  </r>
  <r>
    <s v="SingleHedgeFund"/>
    <x v="55"/>
    <n v="0"/>
    <x v="2"/>
    <x v="50"/>
    <x v="3"/>
    <x v="2"/>
    <s v="SingleHedgeFund"/>
    <x v="101"/>
    <x v="1"/>
    <x v="20"/>
    <x v="3"/>
    <x v="0"/>
  </r>
  <r>
    <s v="SingleHedgeFund"/>
    <x v="56"/>
    <n v="0"/>
    <x v="2"/>
    <x v="51"/>
    <x v="3"/>
    <x v="2"/>
    <s v="SingleHedgeFund"/>
    <x v="101"/>
    <x v="1"/>
    <x v="20"/>
    <x v="3"/>
    <x v="0"/>
  </r>
  <r>
    <s v="SingleHedgeFund"/>
    <x v="57"/>
    <n v="0"/>
    <x v="2"/>
    <x v="52"/>
    <x v="3"/>
    <x v="0"/>
    <s v="SingleHedgeFund"/>
    <x v="101"/>
    <x v="1"/>
    <x v="20"/>
    <x v="3"/>
    <x v="0"/>
  </r>
  <r>
    <s v="SingleHedgeFund"/>
    <x v="58"/>
    <n v="0"/>
    <x v="2"/>
    <x v="53"/>
    <x v="3"/>
    <x v="0"/>
    <s v="SingleHedgeFund"/>
    <x v="101"/>
    <x v="1"/>
    <x v="20"/>
    <x v="3"/>
    <x v="0"/>
  </r>
  <r>
    <s v="SingleHedgeFund"/>
    <x v="59"/>
    <n v="0"/>
    <x v="2"/>
    <x v="54"/>
    <x v="3"/>
    <x v="4"/>
    <s v="SingleHedgeFund"/>
    <x v="101"/>
    <x v="1"/>
    <x v="20"/>
    <x v="3"/>
    <x v="0"/>
  </r>
  <r>
    <s v="SingleHedgeFund"/>
    <x v="60"/>
    <n v="0"/>
    <x v="2"/>
    <x v="55"/>
    <x v="3"/>
    <x v="4"/>
    <s v="SingleHedgeFund"/>
    <x v="101"/>
    <x v="1"/>
    <x v="20"/>
    <x v="3"/>
    <x v="0"/>
  </r>
  <r>
    <s v="SingleHedgeFund"/>
    <x v="61"/>
    <n v="0"/>
    <x v="2"/>
    <x v="56"/>
    <x v="3"/>
    <x v="5"/>
    <s v="SingleHedgeFund"/>
    <x v="101"/>
    <x v="1"/>
    <x v="20"/>
    <x v="3"/>
    <x v="0"/>
  </r>
  <r>
    <s v="SingleHedgeFund"/>
    <x v="62"/>
    <n v="0"/>
    <x v="2"/>
    <x v="57"/>
    <x v="3"/>
    <x v="5"/>
    <s v="SingleHedgeFund"/>
    <x v="101"/>
    <x v="1"/>
    <x v="20"/>
    <x v="3"/>
    <x v="0"/>
  </r>
  <r>
    <s v="SingleStock"/>
    <x v="31"/>
    <n v="0"/>
    <x v="2"/>
    <x v="26"/>
    <x v="1"/>
    <x v="2"/>
    <s v="SingleStock"/>
    <x v="102"/>
    <x v="0"/>
    <x v="0"/>
    <x v="2"/>
    <x v="0"/>
  </r>
  <r>
    <s v="SingleStock"/>
    <x v="32"/>
    <n v="0"/>
    <x v="2"/>
    <x v="27"/>
    <x v="1"/>
    <x v="2"/>
    <s v="SingleStock"/>
    <x v="102"/>
    <x v="0"/>
    <x v="0"/>
    <x v="2"/>
    <x v="0"/>
  </r>
  <r>
    <s v="SingleStock"/>
    <x v="33"/>
    <n v="0"/>
    <x v="2"/>
    <x v="28"/>
    <x v="1"/>
    <x v="0"/>
    <s v="SingleStock"/>
    <x v="102"/>
    <x v="0"/>
    <x v="0"/>
    <x v="2"/>
    <x v="0"/>
  </r>
  <r>
    <s v="SingleStock"/>
    <x v="34"/>
    <n v="0"/>
    <x v="2"/>
    <x v="29"/>
    <x v="1"/>
    <x v="0"/>
    <s v="SingleStock"/>
    <x v="102"/>
    <x v="0"/>
    <x v="0"/>
    <x v="2"/>
    <x v="0"/>
  </r>
  <r>
    <s v="SingleStock"/>
    <x v="35"/>
    <n v="0"/>
    <x v="2"/>
    <x v="30"/>
    <x v="1"/>
    <x v="4"/>
    <s v="SingleStock"/>
    <x v="102"/>
    <x v="0"/>
    <x v="0"/>
    <x v="2"/>
    <x v="0"/>
  </r>
  <r>
    <s v="SingleStock"/>
    <x v="36"/>
    <n v="0"/>
    <x v="2"/>
    <x v="31"/>
    <x v="1"/>
    <x v="4"/>
    <s v="SingleStock"/>
    <x v="102"/>
    <x v="0"/>
    <x v="0"/>
    <x v="2"/>
    <x v="0"/>
  </r>
  <r>
    <s v="SingleStock"/>
    <x v="37"/>
    <n v="0"/>
    <x v="2"/>
    <x v="32"/>
    <x v="1"/>
    <x v="5"/>
    <s v="SingleStock"/>
    <x v="102"/>
    <x v="0"/>
    <x v="0"/>
    <x v="2"/>
    <x v="0"/>
  </r>
  <r>
    <s v="SingleStock"/>
    <x v="38"/>
    <n v="0"/>
    <x v="2"/>
    <x v="33"/>
    <x v="1"/>
    <x v="5"/>
    <s v="SingleStock"/>
    <x v="102"/>
    <x v="0"/>
    <x v="0"/>
    <x v="2"/>
    <x v="0"/>
  </r>
  <r>
    <s v="SingleStock"/>
    <x v="39"/>
    <n v="0"/>
    <x v="2"/>
    <x v="34"/>
    <x v="0"/>
    <x v="2"/>
    <s v="SingleStock"/>
    <x v="102"/>
    <x v="0"/>
    <x v="0"/>
    <x v="0"/>
    <x v="0"/>
  </r>
  <r>
    <s v="SingleStock"/>
    <x v="40"/>
    <n v="0"/>
    <x v="2"/>
    <x v="35"/>
    <x v="0"/>
    <x v="2"/>
    <s v="SingleStock"/>
    <x v="102"/>
    <x v="0"/>
    <x v="0"/>
    <x v="0"/>
    <x v="0"/>
  </r>
  <r>
    <s v="SingleStock"/>
    <x v="41"/>
    <n v="0"/>
    <x v="2"/>
    <x v="36"/>
    <x v="0"/>
    <x v="0"/>
    <s v="SingleStock"/>
    <x v="102"/>
    <x v="0"/>
    <x v="0"/>
    <x v="0"/>
    <x v="0"/>
  </r>
  <r>
    <s v="SingleStock"/>
    <x v="42"/>
    <n v="0"/>
    <x v="2"/>
    <x v="37"/>
    <x v="0"/>
    <x v="0"/>
    <s v="SingleStock"/>
    <x v="102"/>
    <x v="0"/>
    <x v="0"/>
    <x v="0"/>
    <x v="0"/>
  </r>
  <r>
    <s v="SingleStock"/>
    <x v="43"/>
    <n v="0"/>
    <x v="2"/>
    <x v="38"/>
    <x v="0"/>
    <x v="4"/>
    <s v="SingleStock"/>
    <x v="102"/>
    <x v="0"/>
    <x v="0"/>
    <x v="0"/>
    <x v="0"/>
  </r>
  <r>
    <s v="SingleStock"/>
    <x v="44"/>
    <n v="0"/>
    <x v="2"/>
    <x v="39"/>
    <x v="0"/>
    <x v="4"/>
    <s v="SingleStock"/>
    <x v="102"/>
    <x v="0"/>
    <x v="0"/>
    <x v="0"/>
    <x v="0"/>
  </r>
  <r>
    <s v="SingleStock"/>
    <x v="45"/>
    <n v="0"/>
    <x v="2"/>
    <x v="40"/>
    <x v="0"/>
    <x v="5"/>
    <s v="SingleStock"/>
    <x v="102"/>
    <x v="0"/>
    <x v="0"/>
    <x v="0"/>
    <x v="0"/>
  </r>
  <r>
    <s v="SingleStock"/>
    <x v="46"/>
    <n v="0"/>
    <x v="2"/>
    <x v="41"/>
    <x v="0"/>
    <x v="5"/>
    <s v="SingleStock"/>
    <x v="102"/>
    <x v="0"/>
    <x v="0"/>
    <x v="0"/>
    <x v="0"/>
  </r>
  <r>
    <s v="SingleStock"/>
    <x v="47"/>
    <n v="0"/>
    <x v="2"/>
    <x v="42"/>
    <x v="2"/>
    <x v="2"/>
    <s v="SingleStock"/>
    <x v="102"/>
    <x v="0"/>
    <x v="0"/>
    <x v="5"/>
    <x v="0"/>
  </r>
  <r>
    <s v="SingleStock"/>
    <x v="48"/>
    <n v="0"/>
    <x v="2"/>
    <x v="43"/>
    <x v="2"/>
    <x v="2"/>
    <s v="SingleStock"/>
    <x v="102"/>
    <x v="0"/>
    <x v="0"/>
    <x v="5"/>
    <x v="0"/>
  </r>
  <r>
    <s v="SingleStock"/>
    <x v="49"/>
    <n v="0"/>
    <x v="2"/>
    <x v="44"/>
    <x v="2"/>
    <x v="0"/>
    <s v="SingleStock"/>
    <x v="102"/>
    <x v="0"/>
    <x v="0"/>
    <x v="5"/>
    <x v="0"/>
  </r>
  <r>
    <s v="SingleStock"/>
    <x v="50"/>
    <n v="0"/>
    <x v="2"/>
    <x v="45"/>
    <x v="2"/>
    <x v="0"/>
    <s v="SingleStock"/>
    <x v="102"/>
    <x v="0"/>
    <x v="0"/>
    <x v="5"/>
    <x v="0"/>
  </r>
  <r>
    <s v="SingleStock"/>
    <x v="51"/>
    <n v="0"/>
    <x v="2"/>
    <x v="46"/>
    <x v="2"/>
    <x v="4"/>
    <s v="SingleStock"/>
    <x v="102"/>
    <x v="0"/>
    <x v="0"/>
    <x v="5"/>
    <x v="0"/>
  </r>
  <r>
    <s v="SingleStock"/>
    <x v="52"/>
    <n v="0"/>
    <x v="2"/>
    <x v="47"/>
    <x v="2"/>
    <x v="4"/>
    <s v="SingleStock"/>
    <x v="102"/>
    <x v="0"/>
    <x v="0"/>
    <x v="5"/>
    <x v="0"/>
  </r>
  <r>
    <s v="SingleStock"/>
    <x v="53"/>
    <n v="0"/>
    <x v="2"/>
    <x v="48"/>
    <x v="2"/>
    <x v="5"/>
    <s v="SingleStock"/>
    <x v="102"/>
    <x v="0"/>
    <x v="0"/>
    <x v="5"/>
    <x v="0"/>
  </r>
  <r>
    <s v="SingleStock"/>
    <x v="54"/>
    <n v="0"/>
    <x v="2"/>
    <x v="49"/>
    <x v="2"/>
    <x v="5"/>
    <s v="SingleStock"/>
    <x v="102"/>
    <x v="0"/>
    <x v="0"/>
    <x v="5"/>
    <x v="0"/>
  </r>
  <r>
    <s v="SingleStock"/>
    <x v="55"/>
    <n v="0"/>
    <x v="2"/>
    <x v="50"/>
    <x v="3"/>
    <x v="2"/>
    <s v="SingleStock"/>
    <x v="102"/>
    <x v="0"/>
    <x v="0"/>
    <x v="3"/>
    <x v="0"/>
  </r>
  <r>
    <s v="SingleStock"/>
    <x v="56"/>
    <n v="0"/>
    <x v="2"/>
    <x v="51"/>
    <x v="3"/>
    <x v="2"/>
    <s v="SingleStock"/>
    <x v="102"/>
    <x v="0"/>
    <x v="0"/>
    <x v="3"/>
    <x v="0"/>
  </r>
  <r>
    <s v="SingleStock"/>
    <x v="57"/>
    <n v="0"/>
    <x v="2"/>
    <x v="52"/>
    <x v="3"/>
    <x v="0"/>
    <s v="SingleStock"/>
    <x v="102"/>
    <x v="0"/>
    <x v="0"/>
    <x v="3"/>
    <x v="0"/>
  </r>
  <r>
    <s v="SingleStock"/>
    <x v="58"/>
    <n v="0"/>
    <x v="2"/>
    <x v="53"/>
    <x v="3"/>
    <x v="0"/>
    <s v="SingleStock"/>
    <x v="102"/>
    <x v="0"/>
    <x v="0"/>
    <x v="3"/>
    <x v="0"/>
  </r>
  <r>
    <s v="SingleStock"/>
    <x v="59"/>
    <n v="0"/>
    <x v="2"/>
    <x v="54"/>
    <x v="3"/>
    <x v="4"/>
    <s v="SingleStock"/>
    <x v="102"/>
    <x v="0"/>
    <x v="0"/>
    <x v="3"/>
    <x v="0"/>
  </r>
  <r>
    <s v="SingleStock"/>
    <x v="60"/>
    <n v="0"/>
    <x v="2"/>
    <x v="55"/>
    <x v="3"/>
    <x v="4"/>
    <s v="SingleStock"/>
    <x v="102"/>
    <x v="0"/>
    <x v="0"/>
    <x v="3"/>
    <x v="0"/>
  </r>
  <r>
    <s v="SingleStock"/>
    <x v="61"/>
    <n v="0"/>
    <x v="2"/>
    <x v="56"/>
    <x v="3"/>
    <x v="5"/>
    <s v="SingleStock"/>
    <x v="102"/>
    <x v="0"/>
    <x v="0"/>
    <x v="3"/>
    <x v="0"/>
  </r>
  <r>
    <s v="SingleStock"/>
    <x v="62"/>
    <n v="0"/>
    <x v="2"/>
    <x v="57"/>
    <x v="3"/>
    <x v="5"/>
    <s v="SingleStock"/>
    <x v="102"/>
    <x v="0"/>
    <x v="0"/>
    <x v="3"/>
    <x v="0"/>
  </r>
  <r>
    <s v="IE00BZ6VNS04"/>
    <x v="31"/>
    <n v="3"/>
    <x v="2"/>
    <x v="26"/>
    <x v="1"/>
    <x v="2"/>
    <s v="TBWLSIE ID Equity"/>
    <x v="55"/>
    <x v="1"/>
    <x v="5"/>
    <x v="0"/>
    <x v="0"/>
  </r>
  <r>
    <s v="IE00BZ6VNS04"/>
    <x v="32"/>
    <n v="3"/>
    <x v="2"/>
    <x v="27"/>
    <x v="1"/>
    <x v="2"/>
    <s v="TBWLSIE ID Equity"/>
    <x v="55"/>
    <x v="1"/>
    <x v="5"/>
    <x v="0"/>
    <x v="0"/>
  </r>
  <r>
    <s v="IE00BZ6VNS04"/>
    <x v="33"/>
    <n v="2"/>
    <x v="2"/>
    <x v="28"/>
    <x v="1"/>
    <x v="0"/>
    <s v="TBWLSIE ID Equity"/>
    <x v="55"/>
    <x v="1"/>
    <x v="5"/>
    <x v="0"/>
    <x v="0"/>
  </r>
  <r>
    <s v="IE00BZ6VNS04"/>
    <x v="34"/>
    <n v="3"/>
    <x v="2"/>
    <x v="29"/>
    <x v="1"/>
    <x v="0"/>
    <s v="TBWLSIE ID Equity"/>
    <x v="55"/>
    <x v="1"/>
    <x v="5"/>
    <x v="0"/>
    <x v="0"/>
  </r>
  <r>
    <s v="IE00BZ6VNS04"/>
    <x v="35"/>
    <n v="3"/>
    <x v="2"/>
    <x v="30"/>
    <x v="1"/>
    <x v="4"/>
    <s v="TBWLSIE ID Equity"/>
    <x v="55"/>
    <x v="1"/>
    <x v="5"/>
    <x v="0"/>
    <x v="0"/>
  </r>
  <r>
    <s v="IE00BZ6VNS04"/>
    <x v="36"/>
    <n v="3"/>
    <x v="2"/>
    <x v="31"/>
    <x v="1"/>
    <x v="4"/>
    <s v="TBWLSIE ID Equity"/>
    <x v="55"/>
    <x v="1"/>
    <x v="5"/>
    <x v="0"/>
    <x v="0"/>
  </r>
  <r>
    <s v="IE00BZ6VNS04"/>
    <x v="37"/>
    <n v="2"/>
    <x v="2"/>
    <x v="32"/>
    <x v="1"/>
    <x v="5"/>
    <s v="TBWLSIE ID Equity"/>
    <x v="55"/>
    <x v="1"/>
    <x v="5"/>
    <x v="0"/>
    <x v="0"/>
  </r>
  <r>
    <s v="IE00BZ6VNS04"/>
    <x v="38"/>
    <n v="4"/>
    <x v="2"/>
    <x v="33"/>
    <x v="1"/>
    <x v="5"/>
    <s v="TBWLSIE ID Equity"/>
    <x v="55"/>
    <x v="1"/>
    <x v="5"/>
    <x v="0"/>
    <x v="0"/>
  </r>
  <r>
    <s v="IE00BZ6VNS04"/>
    <x v="39"/>
    <n v="3"/>
    <x v="2"/>
    <x v="34"/>
    <x v="0"/>
    <x v="2"/>
    <s v="TBWLSIE ID Equity"/>
    <x v="55"/>
    <x v="1"/>
    <x v="5"/>
    <x v="0"/>
    <x v="0"/>
  </r>
  <r>
    <s v="IE00BZ6VNS04"/>
    <x v="40"/>
    <n v="3"/>
    <x v="2"/>
    <x v="35"/>
    <x v="0"/>
    <x v="2"/>
    <s v="TBWLSIE ID Equity"/>
    <x v="55"/>
    <x v="1"/>
    <x v="5"/>
    <x v="0"/>
    <x v="0"/>
  </r>
  <r>
    <s v="IE00BZ6VNS04"/>
    <x v="41"/>
    <n v="2"/>
    <x v="2"/>
    <x v="36"/>
    <x v="0"/>
    <x v="0"/>
    <s v="TBWLSIE ID Equity"/>
    <x v="55"/>
    <x v="1"/>
    <x v="5"/>
    <x v="0"/>
    <x v="0"/>
  </r>
  <r>
    <s v="IE00BZ6VNS04"/>
    <x v="42"/>
    <n v="3"/>
    <x v="2"/>
    <x v="37"/>
    <x v="0"/>
    <x v="0"/>
    <s v="TBWLSIE ID Equity"/>
    <x v="55"/>
    <x v="1"/>
    <x v="5"/>
    <x v="0"/>
    <x v="0"/>
  </r>
  <r>
    <s v="IE00BZ6VNS04"/>
    <x v="43"/>
    <n v="3"/>
    <x v="2"/>
    <x v="38"/>
    <x v="0"/>
    <x v="4"/>
    <s v="TBWLSIE ID Equity"/>
    <x v="55"/>
    <x v="1"/>
    <x v="5"/>
    <x v="0"/>
    <x v="0"/>
  </r>
  <r>
    <s v="IE00BZ6VNS04"/>
    <x v="44"/>
    <n v="3"/>
    <x v="2"/>
    <x v="39"/>
    <x v="0"/>
    <x v="4"/>
    <s v="TBWLSIE ID Equity"/>
    <x v="55"/>
    <x v="1"/>
    <x v="5"/>
    <x v="0"/>
    <x v="0"/>
  </r>
  <r>
    <s v="IE00BZ6VNS04"/>
    <x v="45"/>
    <n v="2"/>
    <x v="2"/>
    <x v="40"/>
    <x v="0"/>
    <x v="5"/>
    <s v="TBWLSIE ID Equity"/>
    <x v="55"/>
    <x v="1"/>
    <x v="5"/>
    <x v="0"/>
    <x v="0"/>
  </r>
  <r>
    <s v="IE00BZ6VNS04"/>
    <x v="46"/>
    <n v="4"/>
    <x v="2"/>
    <x v="41"/>
    <x v="0"/>
    <x v="5"/>
    <s v="TBWLSIE ID Equity"/>
    <x v="55"/>
    <x v="1"/>
    <x v="5"/>
    <x v="0"/>
    <x v="0"/>
  </r>
  <r>
    <s v="IE00BZ6VNS04"/>
    <x v="47"/>
    <n v="3"/>
    <x v="2"/>
    <x v="42"/>
    <x v="2"/>
    <x v="2"/>
    <s v="TBWLSIE ID Equity"/>
    <x v="55"/>
    <x v="1"/>
    <x v="5"/>
    <x v="0"/>
    <x v="0"/>
  </r>
  <r>
    <s v="IE00BZ6VNS04"/>
    <x v="48"/>
    <n v="3"/>
    <x v="2"/>
    <x v="43"/>
    <x v="2"/>
    <x v="2"/>
    <s v="TBWLSIE ID Equity"/>
    <x v="55"/>
    <x v="1"/>
    <x v="5"/>
    <x v="0"/>
    <x v="0"/>
  </r>
  <r>
    <s v="IE00BZ6VNS04"/>
    <x v="49"/>
    <n v="2"/>
    <x v="2"/>
    <x v="44"/>
    <x v="2"/>
    <x v="0"/>
    <s v="TBWLSIE ID Equity"/>
    <x v="55"/>
    <x v="1"/>
    <x v="5"/>
    <x v="0"/>
    <x v="0"/>
  </r>
  <r>
    <s v="IE00BZ6VNS04"/>
    <x v="50"/>
    <n v="3"/>
    <x v="2"/>
    <x v="45"/>
    <x v="2"/>
    <x v="0"/>
    <s v="TBWLSIE ID Equity"/>
    <x v="55"/>
    <x v="1"/>
    <x v="5"/>
    <x v="0"/>
    <x v="0"/>
  </r>
  <r>
    <s v="IE00BZ6VNS04"/>
    <x v="51"/>
    <n v="3"/>
    <x v="2"/>
    <x v="46"/>
    <x v="2"/>
    <x v="4"/>
    <s v="TBWLSIE ID Equity"/>
    <x v="55"/>
    <x v="1"/>
    <x v="5"/>
    <x v="0"/>
    <x v="0"/>
  </r>
  <r>
    <s v="IE00BZ6VNS04"/>
    <x v="52"/>
    <n v="3"/>
    <x v="2"/>
    <x v="47"/>
    <x v="2"/>
    <x v="4"/>
    <s v="TBWLSIE ID Equity"/>
    <x v="55"/>
    <x v="1"/>
    <x v="5"/>
    <x v="0"/>
    <x v="0"/>
  </r>
  <r>
    <s v="IE00BZ6VNS04"/>
    <x v="53"/>
    <n v="2"/>
    <x v="2"/>
    <x v="48"/>
    <x v="2"/>
    <x v="5"/>
    <s v="TBWLSIE ID Equity"/>
    <x v="55"/>
    <x v="1"/>
    <x v="5"/>
    <x v="0"/>
    <x v="0"/>
  </r>
  <r>
    <s v="IE00BZ6VNS04"/>
    <x v="54"/>
    <n v="4"/>
    <x v="2"/>
    <x v="49"/>
    <x v="2"/>
    <x v="5"/>
    <s v="TBWLSIE ID Equity"/>
    <x v="55"/>
    <x v="1"/>
    <x v="5"/>
    <x v="0"/>
    <x v="0"/>
  </r>
  <r>
    <s v="IE00BZ6VNS04"/>
    <x v="55"/>
    <n v="3"/>
    <x v="2"/>
    <x v="50"/>
    <x v="3"/>
    <x v="2"/>
    <s v="TBWLSIE ID Equity"/>
    <x v="55"/>
    <x v="1"/>
    <x v="5"/>
    <x v="0"/>
    <x v="0"/>
  </r>
  <r>
    <s v="IE00BZ6VNS04"/>
    <x v="56"/>
    <n v="3"/>
    <x v="2"/>
    <x v="51"/>
    <x v="3"/>
    <x v="2"/>
    <s v="TBWLSIE ID Equity"/>
    <x v="55"/>
    <x v="1"/>
    <x v="5"/>
    <x v="0"/>
    <x v="0"/>
  </r>
  <r>
    <s v="IE00BZ6VNS04"/>
    <x v="57"/>
    <n v="2"/>
    <x v="2"/>
    <x v="52"/>
    <x v="3"/>
    <x v="0"/>
    <s v="TBWLSIE ID Equity"/>
    <x v="55"/>
    <x v="1"/>
    <x v="5"/>
    <x v="0"/>
    <x v="0"/>
  </r>
  <r>
    <s v="IE00BZ6VNS04"/>
    <x v="58"/>
    <n v="3"/>
    <x v="2"/>
    <x v="53"/>
    <x v="3"/>
    <x v="0"/>
    <s v="TBWLSIE ID Equity"/>
    <x v="55"/>
    <x v="1"/>
    <x v="5"/>
    <x v="0"/>
    <x v="0"/>
  </r>
  <r>
    <s v="IE00BZ6VNS04"/>
    <x v="59"/>
    <n v="3"/>
    <x v="2"/>
    <x v="54"/>
    <x v="3"/>
    <x v="4"/>
    <s v="TBWLSIE ID Equity"/>
    <x v="55"/>
    <x v="1"/>
    <x v="5"/>
    <x v="0"/>
    <x v="0"/>
  </r>
  <r>
    <s v="IE00BZ6VNS04"/>
    <x v="60"/>
    <n v="3"/>
    <x v="2"/>
    <x v="55"/>
    <x v="3"/>
    <x v="4"/>
    <s v="TBWLSIE ID Equity"/>
    <x v="55"/>
    <x v="1"/>
    <x v="5"/>
    <x v="0"/>
    <x v="0"/>
  </r>
  <r>
    <s v="IE00BZ6VNS04"/>
    <x v="61"/>
    <n v="2"/>
    <x v="2"/>
    <x v="56"/>
    <x v="3"/>
    <x v="5"/>
    <s v="TBWLSIE ID Equity"/>
    <x v="55"/>
    <x v="1"/>
    <x v="5"/>
    <x v="0"/>
    <x v="0"/>
  </r>
  <r>
    <s v="IE00BZ6VNS04"/>
    <x v="62"/>
    <n v="4"/>
    <x v="2"/>
    <x v="57"/>
    <x v="3"/>
    <x v="5"/>
    <s v="TBWLSIE ID Equity"/>
    <x v="55"/>
    <x v="1"/>
    <x v="5"/>
    <x v="0"/>
    <x v="0"/>
  </r>
  <r>
    <s v="LU1628003706"/>
    <x v="31"/>
    <n v="4"/>
    <x v="2"/>
    <x v="26"/>
    <x v="1"/>
    <x v="2"/>
    <s v="TFCFI1E LX Equity"/>
    <x v="60"/>
    <x v="1"/>
    <x v="12"/>
    <x v="0"/>
    <x v="0"/>
  </r>
  <r>
    <s v="LU1628003706"/>
    <x v="32"/>
    <n v="5"/>
    <x v="2"/>
    <x v="27"/>
    <x v="1"/>
    <x v="2"/>
    <s v="TFCFI1E LX Equity"/>
    <x v="60"/>
    <x v="1"/>
    <x v="12"/>
    <x v="0"/>
    <x v="0"/>
  </r>
  <r>
    <s v="LU1628003706"/>
    <x v="33"/>
    <n v="4"/>
    <x v="2"/>
    <x v="28"/>
    <x v="1"/>
    <x v="0"/>
    <s v="TFCFI1E LX Equity"/>
    <x v="60"/>
    <x v="1"/>
    <x v="12"/>
    <x v="0"/>
    <x v="0"/>
  </r>
  <r>
    <s v="LU1628003706"/>
    <x v="34"/>
    <n v="4"/>
    <x v="2"/>
    <x v="29"/>
    <x v="1"/>
    <x v="0"/>
    <s v="TFCFI1E LX Equity"/>
    <x v="60"/>
    <x v="1"/>
    <x v="12"/>
    <x v="0"/>
    <x v="0"/>
  </r>
  <r>
    <s v="LU1628003706"/>
    <x v="35"/>
    <n v="3"/>
    <x v="2"/>
    <x v="30"/>
    <x v="1"/>
    <x v="4"/>
    <s v="TFCFI1E LX Equity"/>
    <x v="60"/>
    <x v="1"/>
    <x v="12"/>
    <x v="0"/>
    <x v="0"/>
  </r>
  <r>
    <s v="LU1628003706"/>
    <x v="36"/>
    <n v="3"/>
    <x v="2"/>
    <x v="31"/>
    <x v="1"/>
    <x v="4"/>
    <s v="TFCFI1E LX Equity"/>
    <x v="60"/>
    <x v="1"/>
    <x v="12"/>
    <x v="0"/>
    <x v="0"/>
  </r>
  <r>
    <s v="LU1628003706"/>
    <x v="37"/>
    <n v="0"/>
    <x v="2"/>
    <x v="32"/>
    <x v="1"/>
    <x v="5"/>
    <s v="TFCFI1E LX Equity"/>
    <x v="60"/>
    <x v="1"/>
    <x v="12"/>
    <x v="0"/>
    <x v="0"/>
  </r>
  <r>
    <s v="LU1628003706"/>
    <x v="38"/>
    <n v="0"/>
    <x v="2"/>
    <x v="33"/>
    <x v="1"/>
    <x v="5"/>
    <s v="TFCFI1E LX Equity"/>
    <x v="60"/>
    <x v="1"/>
    <x v="12"/>
    <x v="0"/>
    <x v="0"/>
  </r>
  <r>
    <s v="LU1628003706"/>
    <x v="39"/>
    <n v="4"/>
    <x v="2"/>
    <x v="34"/>
    <x v="0"/>
    <x v="2"/>
    <s v="TFCFI1E LX Equity"/>
    <x v="60"/>
    <x v="1"/>
    <x v="12"/>
    <x v="0"/>
    <x v="0"/>
  </r>
  <r>
    <s v="LU1628003706"/>
    <x v="40"/>
    <n v="5"/>
    <x v="2"/>
    <x v="35"/>
    <x v="0"/>
    <x v="2"/>
    <s v="TFCFI1E LX Equity"/>
    <x v="60"/>
    <x v="1"/>
    <x v="12"/>
    <x v="0"/>
    <x v="0"/>
  </r>
  <r>
    <s v="LU1628003706"/>
    <x v="41"/>
    <n v="4"/>
    <x v="2"/>
    <x v="36"/>
    <x v="0"/>
    <x v="0"/>
    <s v="TFCFI1E LX Equity"/>
    <x v="60"/>
    <x v="1"/>
    <x v="12"/>
    <x v="0"/>
    <x v="0"/>
  </r>
  <r>
    <s v="LU1628003706"/>
    <x v="42"/>
    <n v="4"/>
    <x v="2"/>
    <x v="37"/>
    <x v="0"/>
    <x v="0"/>
    <s v="TFCFI1E LX Equity"/>
    <x v="60"/>
    <x v="1"/>
    <x v="12"/>
    <x v="0"/>
    <x v="0"/>
  </r>
  <r>
    <s v="LU1628003706"/>
    <x v="43"/>
    <n v="3"/>
    <x v="2"/>
    <x v="38"/>
    <x v="0"/>
    <x v="4"/>
    <s v="TFCFI1E LX Equity"/>
    <x v="60"/>
    <x v="1"/>
    <x v="12"/>
    <x v="0"/>
    <x v="0"/>
  </r>
  <r>
    <s v="LU1628003706"/>
    <x v="44"/>
    <n v="3"/>
    <x v="2"/>
    <x v="39"/>
    <x v="0"/>
    <x v="4"/>
    <s v="TFCFI1E LX Equity"/>
    <x v="60"/>
    <x v="1"/>
    <x v="12"/>
    <x v="0"/>
    <x v="0"/>
  </r>
  <r>
    <s v="LU1628003706"/>
    <x v="45"/>
    <n v="0"/>
    <x v="2"/>
    <x v="40"/>
    <x v="0"/>
    <x v="5"/>
    <s v="TFCFI1E LX Equity"/>
    <x v="60"/>
    <x v="1"/>
    <x v="12"/>
    <x v="0"/>
    <x v="0"/>
  </r>
  <r>
    <s v="LU1628003706"/>
    <x v="46"/>
    <n v="0"/>
    <x v="2"/>
    <x v="41"/>
    <x v="0"/>
    <x v="5"/>
    <s v="TFCFI1E LX Equity"/>
    <x v="60"/>
    <x v="1"/>
    <x v="12"/>
    <x v="0"/>
    <x v="0"/>
  </r>
  <r>
    <s v="LU1628004001"/>
    <x v="47"/>
    <n v="4"/>
    <x v="2"/>
    <x v="42"/>
    <x v="2"/>
    <x v="2"/>
    <s v="TFCFI1U LX Equity"/>
    <x v="61"/>
    <x v="1"/>
    <x v="12"/>
    <x v="0"/>
    <x v="0"/>
  </r>
  <r>
    <s v="LU1628004001"/>
    <x v="48"/>
    <n v="5"/>
    <x v="2"/>
    <x v="43"/>
    <x v="2"/>
    <x v="2"/>
    <s v="TFCFI1U LX Equity"/>
    <x v="61"/>
    <x v="1"/>
    <x v="12"/>
    <x v="0"/>
    <x v="0"/>
  </r>
  <r>
    <s v="LU1628004001"/>
    <x v="49"/>
    <n v="4"/>
    <x v="2"/>
    <x v="44"/>
    <x v="2"/>
    <x v="0"/>
    <s v="TFCFI1U LX Equity"/>
    <x v="61"/>
    <x v="1"/>
    <x v="12"/>
    <x v="0"/>
    <x v="0"/>
  </r>
  <r>
    <s v="LU1628004001"/>
    <x v="50"/>
    <n v="4"/>
    <x v="2"/>
    <x v="45"/>
    <x v="2"/>
    <x v="0"/>
    <s v="TFCFI1U LX Equity"/>
    <x v="61"/>
    <x v="1"/>
    <x v="12"/>
    <x v="0"/>
    <x v="0"/>
  </r>
  <r>
    <s v="LU1628004001"/>
    <x v="51"/>
    <n v="3"/>
    <x v="2"/>
    <x v="46"/>
    <x v="2"/>
    <x v="4"/>
    <s v="TFCFI1U LX Equity"/>
    <x v="61"/>
    <x v="1"/>
    <x v="12"/>
    <x v="0"/>
    <x v="0"/>
  </r>
  <r>
    <s v="LU1628004001"/>
    <x v="52"/>
    <n v="3"/>
    <x v="2"/>
    <x v="47"/>
    <x v="2"/>
    <x v="4"/>
    <s v="TFCFI1U LX Equity"/>
    <x v="61"/>
    <x v="1"/>
    <x v="12"/>
    <x v="0"/>
    <x v="0"/>
  </r>
  <r>
    <s v="LU1628004001"/>
    <x v="53"/>
    <n v="0"/>
    <x v="2"/>
    <x v="48"/>
    <x v="2"/>
    <x v="5"/>
    <s v="TFCFI1U LX Equity"/>
    <x v="61"/>
    <x v="1"/>
    <x v="12"/>
    <x v="0"/>
    <x v="0"/>
  </r>
  <r>
    <s v="LU1628004001"/>
    <x v="54"/>
    <n v="0"/>
    <x v="2"/>
    <x v="49"/>
    <x v="2"/>
    <x v="5"/>
    <s v="TFCFI1U LX Equity"/>
    <x v="61"/>
    <x v="1"/>
    <x v="12"/>
    <x v="0"/>
    <x v="0"/>
  </r>
  <r>
    <s v="LU1628004001"/>
    <x v="55"/>
    <n v="4"/>
    <x v="2"/>
    <x v="50"/>
    <x v="3"/>
    <x v="2"/>
    <s v="TFCFI1U LX Equity"/>
    <x v="61"/>
    <x v="1"/>
    <x v="12"/>
    <x v="3"/>
    <x v="0"/>
  </r>
  <r>
    <s v="LU1628004001"/>
    <x v="56"/>
    <n v="5"/>
    <x v="2"/>
    <x v="51"/>
    <x v="3"/>
    <x v="2"/>
    <s v="TFCFI1U LX Equity"/>
    <x v="61"/>
    <x v="1"/>
    <x v="12"/>
    <x v="3"/>
    <x v="0"/>
  </r>
  <r>
    <s v="LU1628004001"/>
    <x v="57"/>
    <n v="4"/>
    <x v="2"/>
    <x v="52"/>
    <x v="3"/>
    <x v="0"/>
    <s v="TFCFI1U LX Equity"/>
    <x v="61"/>
    <x v="1"/>
    <x v="12"/>
    <x v="3"/>
    <x v="0"/>
  </r>
  <r>
    <s v="LU1628004001"/>
    <x v="58"/>
    <n v="4"/>
    <x v="2"/>
    <x v="53"/>
    <x v="3"/>
    <x v="0"/>
    <s v="TFCFI1U LX Equity"/>
    <x v="61"/>
    <x v="1"/>
    <x v="12"/>
    <x v="3"/>
    <x v="0"/>
  </r>
  <r>
    <s v="LU1628004001"/>
    <x v="59"/>
    <n v="3"/>
    <x v="2"/>
    <x v="54"/>
    <x v="3"/>
    <x v="4"/>
    <s v="TFCFI1U LX Equity"/>
    <x v="61"/>
    <x v="1"/>
    <x v="12"/>
    <x v="3"/>
    <x v="0"/>
  </r>
  <r>
    <s v="LU1628004001"/>
    <x v="60"/>
    <n v="3"/>
    <x v="2"/>
    <x v="55"/>
    <x v="3"/>
    <x v="4"/>
    <s v="TFCFI1U LX Equity"/>
    <x v="61"/>
    <x v="1"/>
    <x v="12"/>
    <x v="3"/>
    <x v="0"/>
  </r>
  <r>
    <s v="LU1628004001"/>
    <x v="61"/>
    <n v="0"/>
    <x v="2"/>
    <x v="56"/>
    <x v="3"/>
    <x v="5"/>
    <s v="TFCFI1U LX Equity"/>
    <x v="61"/>
    <x v="1"/>
    <x v="12"/>
    <x v="3"/>
    <x v="0"/>
  </r>
  <r>
    <s v="LU1628004001"/>
    <x v="62"/>
    <n v="0"/>
    <x v="2"/>
    <x v="57"/>
    <x v="3"/>
    <x v="5"/>
    <s v="TFCFI1U LX Equity"/>
    <x v="61"/>
    <x v="1"/>
    <x v="12"/>
    <x v="3"/>
    <x v="0"/>
  </r>
  <r>
    <s v="CH0385841447"/>
    <x v="31"/>
    <n v="3"/>
    <x v="2"/>
    <x v="26"/>
    <x v="1"/>
    <x v="2"/>
    <s v="UBS0 04/24/25 Corp"/>
    <x v="18"/>
    <x v="0"/>
    <x v="3"/>
    <x v="0"/>
    <x v="2"/>
  </r>
  <r>
    <s v="CH0385841447"/>
    <x v="32"/>
    <n v="3"/>
    <x v="2"/>
    <x v="27"/>
    <x v="1"/>
    <x v="2"/>
    <s v="UBS0 04/24/25 Corp"/>
    <x v="18"/>
    <x v="0"/>
    <x v="3"/>
    <x v="0"/>
    <x v="2"/>
  </r>
  <r>
    <s v="CH0385841447"/>
    <x v="33"/>
    <n v="2"/>
    <x v="2"/>
    <x v="28"/>
    <x v="1"/>
    <x v="0"/>
    <s v="UBS0 04/24/25 Corp"/>
    <x v="18"/>
    <x v="0"/>
    <x v="3"/>
    <x v="0"/>
    <x v="2"/>
  </r>
  <r>
    <s v="CH0385841447"/>
    <x v="34"/>
    <n v="2"/>
    <x v="2"/>
    <x v="29"/>
    <x v="1"/>
    <x v="0"/>
    <s v="UBS0 04/24/25 Corp"/>
    <x v="18"/>
    <x v="0"/>
    <x v="3"/>
    <x v="0"/>
    <x v="2"/>
  </r>
  <r>
    <s v="CH0385841447"/>
    <x v="35"/>
    <n v="2"/>
    <x v="2"/>
    <x v="30"/>
    <x v="1"/>
    <x v="4"/>
    <s v="UBS0 04/24/25 Corp"/>
    <x v="18"/>
    <x v="0"/>
    <x v="3"/>
    <x v="0"/>
    <x v="2"/>
  </r>
  <r>
    <s v="CH0385841447"/>
    <x v="36"/>
    <n v="2"/>
    <x v="2"/>
    <x v="31"/>
    <x v="1"/>
    <x v="4"/>
    <s v="UBS0 04/24/25 Corp"/>
    <x v="18"/>
    <x v="0"/>
    <x v="3"/>
    <x v="0"/>
    <x v="2"/>
  </r>
  <r>
    <s v="CH0385841447"/>
    <x v="37"/>
    <n v="0"/>
    <x v="2"/>
    <x v="32"/>
    <x v="1"/>
    <x v="5"/>
    <s v="UBS0 04/24/25 Corp"/>
    <x v="18"/>
    <x v="0"/>
    <x v="3"/>
    <x v="0"/>
    <x v="2"/>
  </r>
  <r>
    <s v="CH0385841447"/>
    <x v="38"/>
    <n v="0"/>
    <x v="2"/>
    <x v="33"/>
    <x v="1"/>
    <x v="5"/>
    <s v="UBS0 04/24/25 Corp"/>
    <x v="18"/>
    <x v="0"/>
    <x v="3"/>
    <x v="0"/>
    <x v="2"/>
  </r>
  <r>
    <s v="CH0385841447"/>
    <x v="39"/>
    <n v="3"/>
    <x v="2"/>
    <x v="34"/>
    <x v="0"/>
    <x v="2"/>
    <s v="UBS0 04/24/25 Corp"/>
    <x v="18"/>
    <x v="0"/>
    <x v="3"/>
    <x v="0"/>
    <x v="2"/>
  </r>
  <r>
    <s v="CH0385841447"/>
    <x v="40"/>
    <n v="3"/>
    <x v="2"/>
    <x v="35"/>
    <x v="0"/>
    <x v="2"/>
    <s v="UBS0 04/24/25 Corp"/>
    <x v="18"/>
    <x v="0"/>
    <x v="3"/>
    <x v="0"/>
    <x v="2"/>
  </r>
  <r>
    <s v="CH0385841447"/>
    <x v="41"/>
    <n v="2"/>
    <x v="2"/>
    <x v="36"/>
    <x v="0"/>
    <x v="0"/>
    <s v="UBS0 04/24/25 Corp"/>
    <x v="18"/>
    <x v="0"/>
    <x v="3"/>
    <x v="0"/>
    <x v="2"/>
  </r>
  <r>
    <s v="CH0385841447"/>
    <x v="42"/>
    <n v="2"/>
    <x v="2"/>
    <x v="37"/>
    <x v="0"/>
    <x v="0"/>
    <s v="UBS0 04/24/25 Corp"/>
    <x v="18"/>
    <x v="0"/>
    <x v="3"/>
    <x v="0"/>
    <x v="2"/>
  </r>
  <r>
    <s v="CH0385841447"/>
    <x v="43"/>
    <n v="2"/>
    <x v="2"/>
    <x v="38"/>
    <x v="0"/>
    <x v="4"/>
    <s v="UBS0 04/24/25 Corp"/>
    <x v="18"/>
    <x v="0"/>
    <x v="3"/>
    <x v="0"/>
    <x v="2"/>
  </r>
  <r>
    <s v="CH0385841447"/>
    <x v="44"/>
    <n v="2"/>
    <x v="2"/>
    <x v="39"/>
    <x v="0"/>
    <x v="4"/>
    <s v="UBS0 04/24/25 Corp"/>
    <x v="18"/>
    <x v="0"/>
    <x v="3"/>
    <x v="0"/>
    <x v="2"/>
  </r>
  <r>
    <s v="CH0385841447"/>
    <x v="45"/>
    <n v="0"/>
    <x v="2"/>
    <x v="40"/>
    <x v="0"/>
    <x v="5"/>
    <s v="UBS0 04/24/25 Corp"/>
    <x v="18"/>
    <x v="0"/>
    <x v="3"/>
    <x v="0"/>
    <x v="2"/>
  </r>
  <r>
    <s v="CH0385841447"/>
    <x v="46"/>
    <n v="0"/>
    <x v="2"/>
    <x v="41"/>
    <x v="0"/>
    <x v="5"/>
    <s v="UBS0 04/24/25 Corp"/>
    <x v="18"/>
    <x v="0"/>
    <x v="3"/>
    <x v="0"/>
    <x v="2"/>
  </r>
  <r>
    <s v="CH0385841447"/>
    <x v="47"/>
    <n v="3"/>
    <x v="2"/>
    <x v="42"/>
    <x v="2"/>
    <x v="2"/>
    <s v="UBS0 04/24/25 Corp"/>
    <x v="18"/>
    <x v="0"/>
    <x v="3"/>
    <x v="0"/>
    <x v="2"/>
  </r>
  <r>
    <s v="CH0385841447"/>
    <x v="48"/>
    <n v="3"/>
    <x v="2"/>
    <x v="43"/>
    <x v="2"/>
    <x v="2"/>
    <s v="UBS0 04/24/25 Corp"/>
    <x v="18"/>
    <x v="0"/>
    <x v="3"/>
    <x v="0"/>
    <x v="2"/>
  </r>
  <r>
    <s v="CH0385841447"/>
    <x v="49"/>
    <n v="2"/>
    <x v="2"/>
    <x v="44"/>
    <x v="2"/>
    <x v="0"/>
    <s v="UBS0 04/24/25 Corp"/>
    <x v="18"/>
    <x v="0"/>
    <x v="3"/>
    <x v="0"/>
    <x v="2"/>
  </r>
  <r>
    <s v="CH0385841447"/>
    <x v="50"/>
    <n v="2"/>
    <x v="2"/>
    <x v="45"/>
    <x v="2"/>
    <x v="0"/>
    <s v="UBS0 04/24/25 Corp"/>
    <x v="18"/>
    <x v="0"/>
    <x v="3"/>
    <x v="0"/>
    <x v="2"/>
  </r>
  <r>
    <s v="CH0385841447"/>
    <x v="51"/>
    <n v="2"/>
    <x v="2"/>
    <x v="46"/>
    <x v="2"/>
    <x v="4"/>
    <s v="UBS0 04/24/25 Corp"/>
    <x v="18"/>
    <x v="0"/>
    <x v="3"/>
    <x v="0"/>
    <x v="2"/>
  </r>
  <r>
    <s v="CH0385841447"/>
    <x v="52"/>
    <n v="2"/>
    <x v="2"/>
    <x v="47"/>
    <x v="2"/>
    <x v="4"/>
    <s v="UBS0 04/24/25 Corp"/>
    <x v="18"/>
    <x v="0"/>
    <x v="3"/>
    <x v="0"/>
    <x v="2"/>
  </r>
  <r>
    <s v="CH0385841447"/>
    <x v="53"/>
    <n v="0"/>
    <x v="2"/>
    <x v="48"/>
    <x v="2"/>
    <x v="5"/>
    <s v="UBS0 04/24/25 Corp"/>
    <x v="18"/>
    <x v="0"/>
    <x v="3"/>
    <x v="0"/>
    <x v="2"/>
  </r>
  <r>
    <s v="CH0385841447"/>
    <x v="54"/>
    <n v="0"/>
    <x v="2"/>
    <x v="49"/>
    <x v="2"/>
    <x v="5"/>
    <s v="UBS0 04/24/25 Corp"/>
    <x v="18"/>
    <x v="0"/>
    <x v="3"/>
    <x v="0"/>
    <x v="2"/>
  </r>
  <r>
    <s v="CH0385841447"/>
    <x v="55"/>
    <n v="3"/>
    <x v="2"/>
    <x v="50"/>
    <x v="3"/>
    <x v="2"/>
    <s v="UBS0 04/24/25 Corp"/>
    <x v="18"/>
    <x v="0"/>
    <x v="3"/>
    <x v="0"/>
    <x v="2"/>
  </r>
  <r>
    <s v="CH0385841447"/>
    <x v="56"/>
    <n v="3"/>
    <x v="2"/>
    <x v="51"/>
    <x v="3"/>
    <x v="2"/>
    <s v="UBS0 04/24/25 Corp"/>
    <x v="18"/>
    <x v="0"/>
    <x v="3"/>
    <x v="0"/>
    <x v="2"/>
  </r>
  <r>
    <s v="CH0385841447"/>
    <x v="57"/>
    <n v="2"/>
    <x v="2"/>
    <x v="52"/>
    <x v="3"/>
    <x v="0"/>
    <s v="UBS0 04/24/25 Corp"/>
    <x v="18"/>
    <x v="0"/>
    <x v="3"/>
    <x v="0"/>
    <x v="2"/>
  </r>
  <r>
    <s v="CH0385841447"/>
    <x v="58"/>
    <n v="2"/>
    <x v="2"/>
    <x v="53"/>
    <x v="3"/>
    <x v="0"/>
    <s v="UBS0 04/24/25 Corp"/>
    <x v="18"/>
    <x v="0"/>
    <x v="3"/>
    <x v="0"/>
    <x v="2"/>
  </r>
  <r>
    <s v="CH0385841447"/>
    <x v="59"/>
    <n v="2"/>
    <x v="2"/>
    <x v="54"/>
    <x v="3"/>
    <x v="4"/>
    <s v="UBS0 04/24/25 Corp"/>
    <x v="18"/>
    <x v="0"/>
    <x v="3"/>
    <x v="0"/>
    <x v="2"/>
  </r>
  <r>
    <s v="CH0385841447"/>
    <x v="60"/>
    <n v="2"/>
    <x v="2"/>
    <x v="55"/>
    <x v="3"/>
    <x v="4"/>
    <s v="UBS0 04/24/25 Corp"/>
    <x v="18"/>
    <x v="0"/>
    <x v="3"/>
    <x v="0"/>
    <x v="2"/>
  </r>
  <r>
    <s v="CH0385841447"/>
    <x v="61"/>
    <n v="0"/>
    <x v="2"/>
    <x v="56"/>
    <x v="3"/>
    <x v="5"/>
    <s v="UBS0 04/24/25 Corp"/>
    <x v="18"/>
    <x v="0"/>
    <x v="3"/>
    <x v="0"/>
    <x v="2"/>
  </r>
  <r>
    <s v="CH0385841447"/>
    <x v="62"/>
    <n v="0"/>
    <x v="2"/>
    <x v="57"/>
    <x v="3"/>
    <x v="5"/>
    <s v="UBS0 04/24/25 Corp"/>
    <x v="18"/>
    <x v="0"/>
    <x v="3"/>
    <x v="0"/>
    <x v="2"/>
  </r>
  <r>
    <s v=""/>
    <x v="39"/>
    <n v="0"/>
    <x v="2"/>
    <x v="34"/>
    <x v="0"/>
    <x v="2"/>
    <s v="USD/EUR 11/25/2019 Curncy"/>
    <x v="95"/>
    <x v="6"/>
    <x v="7"/>
    <x v="3"/>
    <x v="0"/>
  </r>
  <r>
    <s v=""/>
    <x v="40"/>
    <n v="0"/>
    <x v="2"/>
    <x v="35"/>
    <x v="0"/>
    <x v="2"/>
    <s v="USD/EUR 11/25/2019 Curncy"/>
    <x v="95"/>
    <x v="6"/>
    <x v="7"/>
    <x v="3"/>
    <x v="0"/>
  </r>
  <r>
    <s v=""/>
    <x v="41"/>
    <n v="0"/>
    <x v="2"/>
    <x v="36"/>
    <x v="0"/>
    <x v="0"/>
    <s v="USD/EUR 11/25/2019 Curncy"/>
    <x v="95"/>
    <x v="6"/>
    <x v="7"/>
    <x v="3"/>
    <x v="0"/>
  </r>
  <r>
    <s v=""/>
    <x v="42"/>
    <n v="0"/>
    <x v="2"/>
    <x v="37"/>
    <x v="0"/>
    <x v="0"/>
    <s v="USD/EUR 11/25/2019 Curncy"/>
    <x v="95"/>
    <x v="6"/>
    <x v="7"/>
    <x v="3"/>
    <x v="0"/>
  </r>
  <r>
    <s v=""/>
    <x v="43"/>
    <n v="0"/>
    <x v="2"/>
    <x v="38"/>
    <x v="0"/>
    <x v="4"/>
    <s v="USD/EUR 11/25/2019 Curncy"/>
    <x v="95"/>
    <x v="6"/>
    <x v="7"/>
    <x v="3"/>
    <x v="0"/>
  </r>
  <r>
    <s v=""/>
    <x v="44"/>
    <n v="0"/>
    <x v="2"/>
    <x v="39"/>
    <x v="0"/>
    <x v="4"/>
    <s v="USD/EUR 11/25/2019 Curncy"/>
    <x v="95"/>
    <x v="6"/>
    <x v="7"/>
    <x v="3"/>
    <x v="0"/>
  </r>
  <r>
    <s v=""/>
    <x v="45"/>
    <n v="0"/>
    <x v="2"/>
    <x v="40"/>
    <x v="0"/>
    <x v="5"/>
    <s v="USD/EUR 11/25/2019 Curncy"/>
    <x v="95"/>
    <x v="6"/>
    <x v="7"/>
    <x v="3"/>
    <x v="0"/>
  </r>
  <r>
    <s v=""/>
    <x v="46"/>
    <n v="0"/>
    <x v="2"/>
    <x v="41"/>
    <x v="0"/>
    <x v="5"/>
    <s v="USD/EUR 11/25/2019 Curncy"/>
    <x v="95"/>
    <x v="6"/>
    <x v="7"/>
    <x v="3"/>
    <x v="0"/>
  </r>
  <r>
    <s v="XAU Curncy"/>
    <x v="55"/>
    <n v="0"/>
    <x v="2"/>
    <x v="50"/>
    <x v="3"/>
    <x v="2"/>
    <s v="XAU Curncy"/>
    <x v="103"/>
    <x v="1"/>
    <x v="2"/>
    <x v="3"/>
    <x v="0"/>
  </r>
  <r>
    <s v="XAU Curncy"/>
    <x v="56"/>
    <n v="5"/>
    <x v="2"/>
    <x v="51"/>
    <x v="3"/>
    <x v="2"/>
    <s v="XAU Curncy"/>
    <x v="103"/>
    <x v="1"/>
    <x v="2"/>
    <x v="3"/>
    <x v="0"/>
  </r>
  <r>
    <s v="XAU Curncy"/>
    <x v="57"/>
    <n v="0"/>
    <x v="2"/>
    <x v="52"/>
    <x v="3"/>
    <x v="0"/>
    <s v="XAU Curncy"/>
    <x v="103"/>
    <x v="1"/>
    <x v="2"/>
    <x v="3"/>
    <x v="0"/>
  </r>
  <r>
    <s v="XAU Curncy"/>
    <x v="58"/>
    <n v="5"/>
    <x v="2"/>
    <x v="53"/>
    <x v="3"/>
    <x v="0"/>
    <s v="XAU Curncy"/>
    <x v="103"/>
    <x v="1"/>
    <x v="2"/>
    <x v="3"/>
    <x v="0"/>
  </r>
  <r>
    <s v="XAU Curncy"/>
    <x v="59"/>
    <n v="5"/>
    <x v="2"/>
    <x v="54"/>
    <x v="3"/>
    <x v="4"/>
    <s v="XAU Curncy"/>
    <x v="103"/>
    <x v="1"/>
    <x v="2"/>
    <x v="3"/>
    <x v="0"/>
  </r>
  <r>
    <s v="XAU Curncy"/>
    <x v="60"/>
    <n v="5"/>
    <x v="2"/>
    <x v="55"/>
    <x v="3"/>
    <x v="4"/>
    <s v="XAU Curncy"/>
    <x v="103"/>
    <x v="1"/>
    <x v="2"/>
    <x v="3"/>
    <x v="0"/>
  </r>
  <r>
    <s v="XAU Curncy"/>
    <x v="61"/>
    <n v="5"/>
    <x v="2"/>
    <x v="56"/>
    <x v="3"/>
    <x v="5"/>
    <s v="XAU Curncy"/>
    <x v="103"/>
    <x v="1"/>
    <x v="2"/>
    <x v="3"/>
    <x v="0"/>
  </r>
  <r>
    <s v="XAU Curncy"/>
    <x v="62"/>
    <n v="5"/>
    <x v="2"/>
    <x v="57"/>
    <x v="3"/>
    <x v="5"/>
    <s v="XAU Curncy"/>
    <x v="103"/>
    <x v="1"/>
    <x v="2"/>
    <x v="3"/>
    <x v="0"/>
  </r>
  <r>
    <s v="XAUCHF Curncy"/>
    <x v="31"/>
    <n v="0"/>
    <x v="2"/>
    <x v="26"/>
    <x v="1"/>
    <x v="2"/>
    <s v="XAUCHF Curncy"/>
    <x v="104"/>
    <x v="1"/>
    <x v="2"/>
    <x v="2"/>
    <x v="0"/>
  </r>
  <r>
    <s v="XAUCHF Curncy"/>
    <x v="32"/>
    <n v="5"/>
    <x v="2"/>
    <x v="27"/>
    <x v="1"/>
    <x v="2"/>
    <s v="XAUCHF Curncy"/>
    <x v="104"/>
    <x v="1"/>
    <x v="2"/>
    <x v="2"/>
    <x v="0"/>
  </r>
  <r>
    <s v="XAUCHF Curncy"/>
    <x v="33"/>
    <n v="0"/>
    <x v="2"/>
    <x v="28"/>
    <x v="1"/>
    <x v="0"/>
    <s v="XAUCHF Curncy"/>
    <x v="104"/>
    <x v="1"/>
    <x v="2"/>
    <x v="2"/>
    <x v="0"/>
  </r>
  <r>
    <s v="XAUCHF Curncy"/>
    <x v="34"/>
    <n v="5"/>
    <x v="2"/>
    <x v="29"/>
    <x v="1"/>
    <x v="0"/>
    <s v="XAUCHF Curncy"/>
    <x v="104"/>
    <x v="1"/>
    <x v="2"/>
    <x v="2"/>
    <x v="0"/>
  </r>
  <r>
    <s v="XAUCHF Curncy"/>
    <x v="35"/>
    <n v="5"/>
    <x v="2"/>
    <x v="30"/>
    <x v="1"/>
    <x v="4"/>
    <s v="XAUCHF Curncy"/>
    <x v="104"/>
    <x v="1"/>
    <x v="2"/>
    <x v="2"/>
    <x v="0"/>
  </r>
  <r>
    <s v="XAUCHF Curncy"/>
    <x v="36"/>
    <n v="5"/>
    <x v="2"/>
    <x v="31"/>
    <x v="1"/>
    <x v="4"/>
    <s v="XAUCHF Curncy"/>
    <x v="104"/>
    <x v="1"/>
    <x v="2"/>
    <x v="2"/>
    <x v="0"/>
  </r>
  <r>
    <s v="XAUCHF Curncy"/>
    <x v="37"/>
    <n v="5"/>
    <x v="2"/>
    <x v="32"/>
    <x v="1"/>
    <x v="5"/>
    <s v="XAUCHF Curncy"/>
    <x v="104"/>
    <x v="1"/>
    <x v="2"/>
    <x v="2"/>
    <x v="0"/>
  </r>
  <r>
    <s v="XAUCHF Curncy"/>
    <x v="38"/>
    <n v="5"/>
    <x v="2"/>
    <x v="33"/>
    <x v="1"/>
    <x v="5"/>
    <s v="XAUCHF Curncy"/>
    <x v="104"/>
    <x v="1"/>
    <x v="2"/>
    <x v="2"/>
    <x v="0"/>
  </r>
  <r>
    <s v="XAUEUR Curncy"/>
    <x v="39"/>
    <n v="0"/>
    <x v="2"/>
    <x v="34"/>
    <x v="0"/>
    <x v="2"/>
    <s v="XAUEUR Curncy"/>
    <x v="105"/>
    <x v="1"/>
    <x v="2"/>
    <x v="0"/>
    <x v="0"/>
  </r>
  <r>
    <s v="XAUEUR Curncy"/>
    <x v="40"/>
    <n v="5"/>
    <x v="2"/>
    <x v="35"/>
    <x v="0"/>
    <x v="2"/>
    <s v="XAUEUR Curncy"/>
    <x v="105"/>
    <x v="1"/>
    <x v="2"/>
    <x v="0"/>
    <x v="0"/>
  </r>
  <r>
    <s v="XAUEUR Curncy"/>
    <x v="41"/>
    <n v="0"/>
    <x v="2"/>
    <x v="36"/>
    <x v="0"/>
    <x v="0"/>
    <s v="XAUEUR Curncy"/>
    <x v="105"/>
    <x v="1"/>
    <x v="2"/>
    <x v="0"/>
    <x v="0"/>
  </r>
  <r>
    <s v="XAUEUR Curncy"/>
    <x v="42"/>
    <n v="5"/>
    <x v="2"/>
    <x v="37"/>
    <x v="0"/>
    <x v="0"/>
    <s v="XAUEUR Curncy"/>
    <x v="105"/>
    <x v="1"/>
    <x v="2"/>
    <x v="0"/>
    <x v="0"/>
  </r>
  <r>
    <s v="XAUEUR Curncy"/>
    <x v="43"/>
    <n v="5"/>
    <x v="2"/>
    <x v="38"/>
    <x v="0"/>
    <x v="4"/>
    <s v="XAUEUR Curncy"/>
    <x v="105"/>
    <x v="1"/>
    <x v="2"/>
    <x v="0"/>
    <x v="0"/>
  </r>
  <r>
    <s v="XAUEUR Curncy"/>
    <x v="44"/>
    <n v="5"/>
    <x v="2"/>
    <x v="39"/>
    <x v="0"/>
    <x v="4"/>
    <s v="XAUEUR Curncy"/>
    <x v="105"/>
    <x v="1"/>
    <x v="2"/>
    <x v="0"/>
    <x v="0"/>
  </r>
  <r>
    <s v="XAUEUR Curncy"/>
    <x v="45"/>
    <n v="5"/>
    <x v="2"/>
    <x v="40"/>
    <x v="0"/>
    <x v="5"/>
    <s v="XAUEUR Curncy"/>
    <x v="105"/>
    <x v="1"/>
    <x v="2"/>
    <x v="0"/>
    <x v="0"/>
  </r>
  <r>
    <s v="XAUEUR Curncy"/>
    <x v="46"/>
    <n v="5"/>
    <x v="2"/>
    <x v="41"/>
    <x v="0"/>
    <x v="5"/>
    <s v="XAUEUR Curncy"/>
    <x v="105"/>
    <x v="1"/>
    <x v="2"/>
    <x v="0"/>
    <x v="0"/>
  </r>
  <r>
    <s v="XAUGBP Curncy"/>
    <x v="47"/>
    <n v="0"/>
    <x v="2"/>
    <x v="42"/>
    <x v="2"/>
    <x v="2"/>
    <s v="XAUGBP Curncy"/>
    <x v="106"/>
    <x v="1"/>
    <x v="2"/>
    <x v="5"/>
    <x v="0"/>
  </r>
  <r>
    <s v="XAUGBP Curncy"/>
    <x v="48"/>
    <n v="5"/>
    <x v="2"/>
    <x v="43"/>
    <x v="2"/>
    <x v="2"/>
    <s v="XAUGBP Curncy"/>
    <x v="106"/>
    <x v="1"/>
    <x v="2"/>
    <x v="5"/>
    <x v="0"/>
  </r>
  <r>
    <s v="XAUGBP Curncy"/>
    <x v="49"/>
    <n v="0"/>
    <x v="2"/>
    <x v="44"/>
    <x v="2"/>
    <x v="0"/>
    <s v="XAUGBP Curncy"/>
    <x v="106"/>
    <x v="1"/>
    <x v="2"/>
    <x v="5"/>
    <x v="0"/>
  </r>
  <r>
    <s v="XAUGBP Curncy"/>
    <x v="50"/>
    <n v="5"/>
    <x v="2"/>
    <x v="45"/>
    <x v="2"/>
    <x v="0"/>
    <s v="XAUGBP Curncy"/>
    <x v="106"/>
    <x v="1"/>
    <x v="2"/>
    <x v="5"/>
    <x v="0"/>
  </r>
  <r>
    <s v="XAUGBP Curncy"/>
    <x v="51"/>
    <n v="5"/>
    <x v="2"/>
    <x v="46"/>
    <x v="2"/>
    <x v="4"/>
    <s v="XAUGBP Curncy"/>
    <x v="106"/>
    <x v="1"/>
    <x v="2"/>
    <x v="5"/>
    <x v="0"/>
  </r>
  <r>
    <s v="XAUGBP Curncy"/>
    <x v="52"/>
    <n v="5"/>
    <x v="2"/>
    <x v="47"/>
    <x v="2"/>
    <x v="4"/>
    <s v="XAUGBP Curncy"/>
    <x v="106"/>
    <x v="1"/>
    <x v="2"/>
    <x v="5"/>
    <x v="0"/>
  </r>
  <r>
    <s v="XAUGBP Curncy"/>
    <x v="53"/>
    <n v="5"/>
    <x v="2"/>
    <x v="48"/>
    <x v="2"/>
    <x v="5"/>
    <s v="XAUGBP Curncy"/>
    <x v="106"/>
    <x v="1"/>
    <x v="2"/>
    <x v="5"/>
    <x v="0"/>
  </r>
  <r>
    <s v="XAUGBP Curncy"/>
    <x v="54"/>
    <n v="5"/>
    <x v="2"/>
    <x v="49"/>
    <x v="2"/>
    <x v="5"/>
    <s v="XAUGBP Curncy"/>
    <x v="106"/>
    <x v="1"/>
    <x v="2"/>
    <x v="5"/>
    <x v="0"/>
  </r>
  <r>
    <s v="Cash"/>
    <x v="28"/>
    <n v="0.32"/>
    <x v="1"/>
    <x v="23"/>
    <x v="0"/>
    <x v="7"/>
    <s v="Cash"/>
    <x v="107"/>
    <x v="2"/>
    <x v="22"/>
    <x v="0"/>
    <x v="0"/>
  </r>
  <r>
    <s v="Cash"/>
    <x v="63"/>
    <n v="0.92"/>
    <x v="1"/>
    <x v="58"/>
    <x v="0"/>
    <x v="6"/>
    <s v="Cash"/>
    <x v="107"/>
    <x v="2"/>
    <x v="22"/>
    <x v="0"/>
    <x v="0"/>
  </r>
  <r>
    <s v="Cash"/>
    <x v="11"/>
    <n v="33.1843"/>
    <x v="0"/>
    <x v="11"/>
    <x v="3"/>
    <x v="4"/>
    <s v="Cash"/>
    <x v="107"/>
    <x v="2"/>
    <x v="22"/>
    <x v="3"/>
    <x v="0"/>
  </r>
  <r>
    <s v="Cash"/>
    <x v="4"/>
    <n v="4.01"/>
    <x v="1"/>
    <x v="4"/>
    <x v="0"/>
    <x v="4"/>
    <s v="Cash"/>
    <x v="107"/>
    <x v="2"/>
    <x v="22"/>
    <x v="0"/>
    <x v="0"/>
  </r>
  <r>
    <s v="Cash"/>
    <x v="29"/>
    <n v="0.03"/>
    <x v="1"/>
    <x v="24"/>
    <x v="1"/>
    <x v="6"/>
    <s v="Cash"/>
    <x v="107"/>
    <x v="2"/>
    <x v="22"/>
    <x v="2"/>
    <x v="0"/>
  </r>
  <r>
    <s v="Cash"/>
    <x v="3"/>
    <n v="4.99"/>
    <x v="1"/>
    <x v="3"/>
    <x v="0"/>
    <x v="3"/>
    <s v="Cash"/>
    <x v="107"/>
    <x v="2"/>
    <x v="22"/>
    <x v="0"/>
    <x v="0"/>
  </r>
  <r>
    <s v="Cash"/>
    <x v="12"/>
    <n v="7.45"/>
    <x v="1"/>
    <x v="12"/>
    <x v="0"/>
    <x v="4"/>
    <s v="Cash"/>
    <x v="107"/>
    <x v="2"/>
    <x v="22"/>
    <x v="0"/>
    <x v="0"/>
  </r>
  <r>
    <s v="Cash"/>
    <x v="6"/>
    <n v="21.79"/>
    <x v="1"/>
    <x v="6"/>
    <x v="1"/>
    <x v="4"/>
    <s v="Cash"/>
    <x v="107"/>
    <x v="2"/>
    <x v="22"/>
    <x v="2"/>
    <x v="0"/>
  </r>
  <r>
    <s v="Cash"/>
    <x v="22"/>
    <n v="43.945399999999999"/>
    <x v="0"/>
    <x v="18"/>
    <x v="1"/>
    <x v="4"/>
    <s v="Cash"/>
    <x v="107"/>
    <x v="2"/>
    <x v="22"/>
    <x v="2"/>
    <x v="0"/>
  </r>
  <r>
    <s v="Cash"/>
    <x v="1"/>
    <n v="32.4587"/>
    <x v="0"/>
    <x v="1"/>
    <x v="0"/>
    <x v="1"/>
    <s v="Cash"/>
    <x v="107"/>
    <x v="2"/>
    <x v="22"/>
    <x v="0"/>
    <x v="0"/>
  </r>
  <r>
    <s v="Cash"/>
    <x v="64"/>
    <n v="100"/>
    <x v="0"/>
    <x v="59"/>
    <x v="1"/>
    <x v="6"/>
    <s v="Cash"/>
    <x v="107"/>
    <x v="2"/>
    <x v="22"/>
    <x v="2"/>
    <x v="0"/>
  </r>
  <r>
    <s v="Cash"/>
    <x v="2"/>
    <n v="6.1250999999999998"/>
    <x v="0"/>
    <x v="2"/>
    <x v="1"/>
    <x v="2"/>
    <s v="Cash"/>
    <x v="107"/>
    <x v="2"/>
    <x v="22"/>
    <x v="2"/>
    <x v="0"/>
  </r>
  <r>
    <s v="Cash"/>
    <x v="26"/>
    <n v="65.182000000000002"/>
    <x v="0"/>
    <x v="21"/>
    <x v="1"/>
    <x v="5"/>
    <s v="Cash"/>
    <x v="107"/>
    <x v="2"/>
    <x v="22"/>
    <x v="2"/>
    <x v="0"/>
  </r>
  <r>
    <s v="Cash"/>
    <x v="13"/>
    <n v="28.078499999999998"/>
    <x v="0"/>
    <x v="13"/>
    <x v="0"/>
    <x v="4"/>
    <s v="Cash"/>
    <x v="107"/>
    <x v="2"/>
    <x v="22"/>
    <x v="0"/>
    <x v="0"/>
  </r>
  <r>
    <s v="Cash"/>
    <x v="14"/>
    <n v="14.949"/>
    <x v="0"/>
    <x v="14"/>
    <x v="0"/>
    <x v="4"/>
    <s v="Cash"/>
    <x v="107"/>
    <x v="2"/>
    <x v="22"/>
    <x v="0"/>
    <x v="0"/>
  </r>
  <r>
    <s v="Cash"/>
    <x v="27"/>
    <n v="20.312899999999999"/>
    <x v="0"/>
    <x v="22"/>
    <x v="1"/>
    <x v="8"/>
    <s v="Cash"/>
    <x v="107"/>
    <x v="2"/>
    <x v="22"/>
    <x v="2"/>
    <x v="0"/>
  </r>
  <r>
    <s v="Cash"/>
    <x v="9"/>
    <n v="21.207100000000001"/>
    <x v="0"/>
    <x v="9"/>
    <x v="0"/>
    <x v="4"/>
    <s v="Cash"/>
    <x v="107"/>
    <x v="2"/>
    <x v="22"/>
    <x v="0"/>
    <x v="0"/>
  </r>
  <r>
    <s v="Cash"/>
    <x v="23"/>
    <n v="47.466799999999999"/>
    <x v="0"/>
    <x v="19"/>
    <x v="0"/>
    <x v="4"/>
    <s v="Cash"/>
    <x v="107"/>
    <x v="2"/>
    <x v="22"/>
    <x v="0"/>
    <x v="0"/>
  </r>
  <r>
    <s v="Cash"/>
    <x v="0"/>
    <n v="29.438700000000001"/>
    <x v="0"/>
    <x v="0"/>
    <x v="0"/>
    <x v="0"/>
    <s v="Cash"/>
    <x v="107"/>
    <x v="2"/>
    <x v="22"/>
    <x v="0"/>
    <x v="0"/>
  </r>
  <r>
    <s v="Cash"/>
    <x v="15"/>
    <n v="32.665100000000002"/>
    <x v="0"/>
    <x v="7"/>
    <x v="1"/>
    <x v="4"/>
    <s v="Cash"/>
    <x v="107"/>
    <x v="2"/>
    <x v="22"/>
    <x v="2"/>
    <x v="0"/>
  </r>
  <r>
    <s v="Cash"/>
    <x v="7"/>
    <n v="26.4895"/>
    <x v="0"/>
    <x v="7"/>
    <x v="0"/>
    <x v="4"/>
    <s v="Cash"/>
    <x v="107"/>
    <x v="2"/>
    <x v="22"/>
    <x v="0"/>
    <x v="0"/>
  </r>
  <r>
    <s v="Cash"/>
    <x v="25"/>
    <n v="45.200400000000002"/>
    <x v="0"/>
    <x v="7"/>
    <x v="0"/>
    <x v="4"/>
    <s v="Cash"/>
    <x v="107"/>
    <x v="2"/>
    <x v="22"/>
    <x v="0"/>
    <x v="0"/>
  </r>
  <r>
    <s v="Cash"/>
    <x v="16"/>
    <n v="25.819400000000002"/>
    <x v="0"/>
    <x v="15"/>
    <x v="1"/>
    <x v="5"/>
    <s v="Cash"/>
    <x v="107"/>
    <x v="2"/>
    <x v="22"/>
    <x v="2"/>
    <x v="0"/>
  </r>
  <r>
    <s v="Cash"/>
    <x v="20"/>
    <n v="6.3597000000000001"/>
    <x v="0"/>
    <x v="8"/>
    <x v="0"/>
    <x v="4"/>
    <s v="Cash"/>
    <x v="107"/>
    <x v="2"/>
    <x v="22"/>
    <x v="0"/>
    <x v="0"/>
  </r>
  <r>
    <s v="Cash"/>
    <x v="21"/>
    <n v="3.8565999999999998"/>
    <x v="0"/>
    <x v="8"/>
    <x v="0"/>
    <x v="4"/>
    <s v="Cash"/>
    <x v="107"/>
    <x v="2"/>
    <x v="22"/>
    <x v="0"/>
    <x v="0"/>
  </r>
  <r>
    <s v="Cash"/>
    <x v="8"/>
    <n v="19.920500000000001"/>
    <x v="0"/>
    <x v="8"/>
    <x v="0"/>
    <x v="4"/>
    <s v="Cash"/>
    <x v="107"/>
    <x v="2"/>
    <x v="22"/>
    <x v="0"/>
    <x v="0"/>
  </r>
  <r>
    <s v="Cash"/>
    <x v="5"/>
    <n v="19.412800000000001"/>
    <x v="0"/>
    <x v="5"/>
    <x v="0"/>
    <x v="4"/>
    <s v="Cash"/>
    <x v="107"/>
    <x v="2"/>
    <x v="22"/>
    <x v="0"/>
    <x v="0"/>
  </r>
  <r>
    <s v="Cash"/>
    <x v="17"/>
    <n v="70.177300000000002"/>
    <x v="0"/>
    <x v="5"/>
    <x v="3"/>
    <x v="6"/>
    <s v="Cash"/>
    <x v="107"/>
    <x v="2"/>
    <x v="22"/>
    <x v="3"/>
    <x v="0"/>
  </r>
  <r>
    <s v="Cash"/>
    <x v="24"/>
    <n v="27.308599999999998"/>
    <x v="0"/>
    <x v="20"/>
    <x v="0"/>
    <x v="7"/>
    <s v="Cash"/>
    <x v="107"/>
    <x v="2"/>
    <x v="22"/>
    <x v="0"/>
    <x v="0"/>
  </r>
  <r>
    <s v="Cash"/>
    <x v="18"/>
    <n v="29.935199999999998"/>
    <x v="0"/>
    <x v="16"/>
    <x v="0"/>
    <x v="4"/>
    <s v="Cash"/>
    <x v="107"/>
    <x v="2"/>
    <x v="22"/>
    <x v="0"/>
    <x v="0"/>
  </r>
  <r>
    <s v="Cash"/>
    <x v="30"/>
    <n v="7.1509999999999998"/>
    <x v="0"/>
    <x v="25"/>
    <x v="0"/>
    <x v="2"/>
    <s v="Cash"/>
    <x v="107"/>
    <x v="2"/>
    <x v="22"/>
    <x v="0"/>
    <x v="0"/>
  </r>
  <r>
    <s v="Cash"/>
    <x v="19"/>
    <n v="70.959100000000007"/>
    <x v="0"/>
    <x v="17"/>
    <x v="0"/>
    <x v="0"/>
    <s v="Cash"/>
    <x v="107"/>
    <x v="2"/>
    <x v="22"/>
    <x v="0"/>
    <x v="0"/>
  </r>
  <r>
    <s v="Cash"/>
    <x v="65"/>
    <n v="100"/>
    <x v="0"/>
    <x v="60"/>
    <x v="2"/>
    <x v="6"/>
    <s v="Cash"/>
    <x v="107"/>
    <x v="2"/>
    <x v="22"/>
    <x v="5"/>
    <x v="0"/>
  </r>
  <r>
    <s v="Cash"/>
    <x v="10"/>
    <n v="3.6004"/>
    <x v="0"/>
    <x v="10"/>
    <x v="2"/>
    <x v="2"/>
    <s v="Cash"/>
    <x v="107"/>
    <x v="2"/>
    <x v="22"/>
    <x v="5"/>
    <x v="0"/>
  </r>
  <r>
    <s v="Cash"/>
    <x v="31"/>
    <n v="2"/>
    <x v="2"/>
    <x v="26"/>
    <x v="1"/>
    <x v="2"/>
    <s v="Cash"/>
    <x v="107"/>
    <x v="2"/>
    <x v="22"/>
    <x v="2"/>
    <x v="0"/>
  </r>
  <r>
    <s v="Cash"/>
    <x v="32"/>
    <n v="10"/>
    <x v="2"/>
    <x v="27"/>
    <x v="1"/>
    <x v="2"/>
    <s v="Cash"/>
    <x v="107"/>
    <x v="2"/>
    <x v="22"/>
    <x v="2"/>
    <x v="0"/>
  </r>
  <r>
    <s v="Cash"/>
    <x v="33"/>
    <n v="2"/>
    <x v="2"/>
    <x v="28"/>
    <x v="1"/>
    <x v="0"/>
    <s v="Cash"/>
    <x v="107"/>
    <x v="2"/>
    <x v="22"/>
    <x v="2"/>
    <x v="0"/>
  </r>
  <r>
    <s v="Cash"/>
    <x v="34"/>
    <n v="15"/>
    <x v="2"/>
    <x v="29"/>
    <x v="1"/>
    <x v="0"/>
    <s v="Cash"/>
    <x v="107"/>
    <x v="2"/>
    <x v="22"/>
    <x v="2"/>
    <x v="0"/>
  </r>
  <r>
    <s v="Cash"/>
    <x v="35"/>
    <n v="5"/>
    <x v="2"/>
    <x v="30"/>
    <x v="1"/>
    <x v="4"/>
    <s v="Cash"/>
    <x v="107"/>
    <x v="2"/>
    <x v="22"/>
    <x v="2"/>
    <x v="0"/>
  </r>
  <r>
    <s v="Cash"/>
    <x v="36"/>
    <n v="20"/>
    <x v="2"/>
    <x v="31"/>
    <x v="1"/>
    <x v="4"/>
    <s v="Cash"/>
    <x v="107"/>
    <x v="2"/>
    <x v="22"/>
    <x v="2"/>
    <x v="0"/>
  </r>
  <r>
    <s v="Cash"/>
    <x v="37"/>
    <n v="10"/>
    <x v="2"/>
    <x v="32"/>
    <x v="1"/>
    <x v="5"/>
    <s v="Cash"/>
    <x v="107"/>
    <x v="2"/>
    <x v="22"/>
    <x v="2"/>
    <x v="0"/>
  </r>
  <r>
    <s v="Cash"/>
    <x v="38"/>
    <n v="30"/>
    <x v="2"/>
    <x v="33"/>
    <x v="1"/>
    <x v="5"/>
    <s v="Cash"/>
    <x v="107"/>
    <x v="2"/>
    <x v="22"/>
    <x v="2"/>
    <x v="0"/>
  </r>
  <r>
    <s v="Cash"/>
    <x v="39"/>
    <n v="2"/>
    <x v="2"/>
    <x v="34"/>
    <x v="0"/>
    <x v="2"/>
    <s v="Cash"/>
    <x v="107"/>
    <x v="2"/>
    <x v="22"/>
    <x v="0"/>
    <x v="0"/>
  </r>
  <r>
    <s v="Cash"/>
    <x v="40"/>
    <n v="10"/>
    <x v="2"/>
    <x v="35"/>
    <x v="0"/>
    <x v="2"/>
    <s v="Cash"/>
    <x v="107"/>
    <x v="2"/>
    <x v="22"/>
    <x v="0"/>
    <x v="0"/>
  </r>
  <r>
    <s v="Cash"/>
    <x v="41"/>
    <n v="2"/>
    <x v="2"/>
    <x v="36"/>
    <x v="0"/>
    <x v="0"/>
    <s v="Cash"/>
    <x v="107"/>
    <x v="2"/>
    <x v="22"/>
    <x v="0"/>
    <x v="0"/>
  </r>
  <r>
    <s v="Cash"/>
    <x v="42"/>
    <n v="15"/>
    <x v="2"/>
    <x v="37"/>
    <x v="0"/>
    <x v="0"/>
    <s v="Cash"/>
    <x v="107"/>
    <x v="2"/>
    <x v="22"/>
    <x v="0"/>
    <x v="0"/>
  </r>
  <r>
    <s v="Cash"/>
    <x v="43"/>
    <n v="5"/>
    <x v="2"/>
    <x v="38"/>
    <x v="0"/>
    <x v="4"/>
    <s v="Cash"/>
    <x v="107"/>
    <x v="2"/>
    <x v="22"/>
    <x v="0"/>
    <x v="0"/>
  </r>
  <r>
    <s v="Cash"/>
    <x v="44"/>
    <n v="20"/>
    <x v="2"/>
    <x v="39"/>
    <x v="0"/>
    <x v="4"/>
    <s v="Cash"/>
    <x v="107"/>
    <x v="2"/>
    <x v="22"/>
    <x v="0"/>
    <x v="0"/>
  </r>
  <r>
    <s v="Cash"/>
    <x v="45"/>
    <n v="10"/>
    <x v="2"/>
    <x v="40"/>
    <x v="0"/>
    <x v="5"/>
    <s v="Cash"/>
    <x v="107"/>
    <x v="2"/>
    <x v="22"/>
    <x v="0"/>
    <x v="0"/>
  </r>
  <r>
    <s v="Cash"/>
    <x v="46"/>
    <n v="30"/>
    <x v="2"/>
    <x v="41"/>
    <x v="0"/>
    <x v="5"/>
    <s v="Cash"/>
    <x v="107"/>
    <x v="2"/>
    <x v="22"/>
    <x v="0"/>
    <x v="0"/>
  </r>
  <r>
    <s v="Cash"/>
    <x v="47"/>
    <n v="2"/>
    <x v="2"/>
    <x v="42"/>
    <x v="2"/>
    <x v="2"/>
    <s v="Cash"/>
    <x v="107"/>
    <x v="2"/>
    <x v="22"/>
    <x v="5"/>
    <x v="0"/>
  </r>
  <r>
    <s v="Cash"/>
    <x v="48"/>
    <n v="10"/>
    <x v="2"/>
    <x v="43"/>
    <x v="2"/>
    <x v="2"/>
    <s v="Cash"/>
    <x v="107"/>
    <x v="2"/>
    <x v="22"/>
    <x v="5"/>
    <x v="0"/>
  </r>
  <r>
    <s v="Cash"/>
    <x v="49"/>
    <n v="2"/>
    <x v="2"/>
    <x v="44"/>
    <x v="2"/>
    <x v="0"/>
    <s v="Cash"/>
    <x v="107"/>
    <x v="2"/>
    <x v="22"/>
    <x v="5"/>
    <x v="0"/>
  </r>
  <r>
    <s v="Cash"/>
    <x v="50"/>
    <n v="15"/>
    <x v="2"/>
    <x v="45"/>
    <x v="2"/>
    <x v="0"/>
    <s v="Cash"/>
    <x v="107"/>
    <x v="2"/>
    <x v="22"/>
    <x v="5"/>
    <x v="0"/>
  </r>
  <r>
    <s v="Cash"/>
    <x v="51"/>
    <n v="5"/>
    <x v="2"/>
    <x v="46"/>
    <x v="2"/>
    <x v="4"/>
    <s v="Cash"/>
    <x v="107"/>
    <x v="2"/>
    <x v="22"/>
    <x v="5"/>
    <x v="0"/>
  </r>
  <r>
    <s v="Cash"/>
    <x v="52"/>
    <n v="20"/>
    <x v="2"/>
    <x v="47"/>
    <x v="2"/>
    <x v="4"/>
    <s v="Cash"/>
    <x v="107"/>
    <x v="2"/>
    <x v="22"/>
    <x v="5"/>
    <x v="0"/>
  </r>
  <r>
    <s v="Cash"/>
    <x v="53"/>
    <n v="10"/>
    <x v="2"/>
    <x v="48"/>
    <x v="2"/>
    <x v="5"/>
    <s v="Cash"/>
    <x v="107"/>
    <x v="2"/>
    <x v="22"/>
    <x v="5"/>
    <x v="0"/>
  </r>
  <r>
    <s v="Cash"/>
    <x v="54"/>
    <n v="30"/>
    <x v="2"/>
    <x v="49"/>
    <x v="2"/>
    <x v="5"/>
    <s v="Cash"/>
    <x v="107"/>
    <x v="2"/>
    <x v="22"/>
    <x v="5"/>
    <x v="0"/>
  </r>
  <r>
    <s v="Cash"/>
    <x v="55"/>
    <n v="2"/>
    <x v="2"/>
    <x v="50"/>
    <x v="3"/>
    <x v="2"/>
    <s v="Cash"/>
    <x v="107"/>
    <x v="2"/>
    <x v="22"/>
    <x v="3"/>
    <x v="0"/>
  </r>
  <r>
    <s v="Cash"/>
    <x v="56"/>
    <n v="10"/>
    <x v="2"/>
    <x v="51"/>
    <x v="3"/>
    <x v="2"/>
    <s v="Cash"/>
    <x v="107"/>
    <x v="2"/>
    <x v="22"/>
    <x v="3"/>
    <x v="0"/>
  </r>
  <r>
    <s v="Cash"/>
    <x v="57"/>
    <n v="2"/>
    <x v="2"/>
    <x v="52"/>
    <x v="3"/>
    <x v="0"/>
    <s v="Cash"/>
    <x v="107"/>
    <x v="2"/>
    <x v="22"/>
    <x v="3"/>
    <x v="0"/>
  </r>
  <r>
    <s v="Cash"/>
    <x v="58"/>
    <n v="15"/>
    <x v="2"/>
    <x v="53"/>
    <x v="3"/>
    <x v="0"/>
    <s v="Cash"/>
    <x v="107"/>
    <x v="2"/>
    <x v="22"/>
    <x v="3"/>
    <x v="0"/>
  </r>
  <r>
    <s v="Cash"/>
    <x v="59"/>
    <n v="5"/>
    <x v="2"/>
    <x v="54"/>
    <x v="3"/>
    <x v="4"/>
    <s v="Cash"/>
    <x v="107"/>
    <x v="2"/>
    <x v="22"/>
    <x v="3"/>
    <x v="0"/>
  </r>
  <r>
    <s v="Cash"/>
    <x v="60"/>
    <n v="20"/>
    <x v="2"/>
    <x v="55"/>
    <x v="3"/>
    <x v="4"/>
    <s v="Cash"/>
    <x v="107"/>
    <x v="2"/>
    <x v="22"/>
    <x v="3"/>
    <x v="0"/>
  </r>
  <r>
    <s v="Cash"/>
    <x v="61"/>
    <n v="10"/>
    <x v="2"/>
    <x v="56"/>
    <x v="3"/>
    <x v="5"/>
    <s v="Cash"/>
    <x v="107"/>
    <x v="2"/>
    <x v="22"/>
    <x v="3"/>
    <x v="0"/>
  </r>
  <r>
    <s v="Cash"/>
    <x v="62"/>
    <n v="30"/>
    <x v="2"/>
    <x v="57"/>
    <x v="3"/>
    <x v="5"/>
    <s v="Cash"/>
    <x v="107"/>
    <x v="2"/>
    <x v="22"/>
    <x v="3"/>
    <x v="0"/>
  </r>
  <r>
    <s v="FxExposure"/>
    <x v="1"/>
    <n v="1.1635"/>
    <x v="0"/>
    <x v="1"/>
    <x v="0"/>
    <x v="1"/>
    <s v="FxExposure"/>
    <x v="108"/>
    <x v="4"/>
    <x v="23"/>
    <x v="6"/>
    <x v="0"/>
  </r>
  <r>
    <s v="FxExposure"/>
    <x v="3"/>
    <n v="7.23"/>
    <x v="1"/>
    <x v="3"/>
    <x v="0"/>
    <x v="3"/>
    <s v="FxExposure"/>
    <x v="108"/>
    <x v="4"/>
    <x v="23"/>
    <x v="6"/>
    <x v="0"/>
  </r>
  <r>
    <s v="FxExposure"/>
    <x v="4"/>
    <n v="1.1000000000000001"/>
    <x v="1"/>
    <x v="4"/>
    <x v="0"/>
    <x v="4"/>
    <s v="FxExposure"/>
    <x v="108"/>
    <x v="4"/>
    <x v="23"/>
    <x v="6"/>
    <x v="0"/>
  </r>
  <r>
    <s v="FxExposure"/>
    <x v="5"/>
    <n v="61.521000000000001"/>
    <x v="0"/>
    <x v="5"/>
    <x v="0"/>
    <x v="4"/>
    <s v="FxExposure"/>
    <x v="108"/>
    <x v="4"/>
    <x v="23"/>
    <x v="6"/>
    <x v="0"/>
  </r>
  <r>
    <s v="FxExposure"/>
    <x v="7"/>
    <n v="18.310600000000001"/>
    <x v="0"/>
    <x v="7"/>
    <x v="0"/>
    <x v="4"/>
    <s v="FxExposure"/>
    <x v="108"/>
    <x v="4"/>
    <x v="23"/>
    <x v="6"/>
    <x v="0"/>
  </r>
  <r>
    <s v="FxExposure"/>
    <x v="8"/>
    <n v="14.7347"/>
    <x v="0"/>
    <x v="8"/>
    <x v="0"/>
    <x v="4"/>
    <s v="FxExposure"/>
    <x v="108"/>
    <x v="4"/>
    <x v="23"/>
    <x v="6"/>
    <x v="0"/>
  </r>
  <r>
    <s v="FxExposure"/>
    <x v="10"/>
    <n v="76.982500000000002"/>
    <x v="0"/>
    <x v="10"/>
    <x v="2"/>
    <x v="2"/>
    <s v="FxExposure"/>
    <x v="108"/>
    <x v="4"/>
    <x v="23"/>
    <x v="6"/>
    <x v="0"/>
  </r>
  <r>
    <s v="FxExposure"/>
    <x v="11"/>
    <n v="3.2073"/>
    <x v="0"/>
    <x v="11"/>
    <x v="3"/>
    <x v="4"/>
    <s v="FxExposure"/>
    <x v="108"/>
    <x v="4"/>
    <x v="23"/>
    <x v="6"/>
    <x v="0"/>
  </r>
  <r>
    <s v="FxExposure"/>
    <x v="6"/>
    <n v="-3.44"/>
    <x v="1"/>
    <x v="6"/>
    <x v="1"/>
    <x v="4"/>
    <s v="FxExposure"/>
    <x v="108"/>
    <x v="4"/>
    <x v="23"/>
    <x v="6"/>
    <x v="0"/>
  </r>
  <r>
    <s v="FxExposure"/>
    <x v="15"/>
    <n v="15.4704"/>
    <x v="0"/>
    <x v="7"/>
    <x v="1"/>
    <x v="4"/>
    <s v="FxExposure"/>
    <x v="108"/>
    <x v="4"/>
    <x v="23"/>
    <x v="6"/>
    <x v="0"/>
  </r>
  <r>
    <s v="FxExposure"/>
    <x v="16"/>
    <n v="23.3489"/>
    <x v="0"/>
    <x v="15"/>
    <x v="1"/>
    <x v="5"/>
    <s v="FxExposure"/>
    <x v="108"/>
    <x v="4"/>
    <x v="23"/>
    <x v="6"/>
    <x v="0"/>
  </r>
  <r>
    <s v="FxExposure"/>
    <x v="17"/>
    <n v="3.5491000000000001"/>
    <x v="0"/>
    <x v="5"/>
    <x v="3"/>
    <x v="6"/>
    <s v="FxExposure"/>
    <x v="108"/>
    <x v="4"/>
    <x v="23"/>
    <x v="6"/>
    <x v="0"/>
  </r>
  <r>
    <s v="FxExposure"/>
    <x v="20"/>
    <n v="79.214100000000002"/>
    <x v="0"/>
    <x v="8"/>
    <x v="0"/>
    <x v="4"/>
    <s v="FxExposure"/>
    <x v="108"/>
    <x v="4"/>
    <x v="23"/>
    <x v="6"/>
    <x v="0"/>
  </r>
  <r>
    <s v="FxExposure"/>
    <x v="21"/>
    <n v="52.905500000000004"/>
    <x v="0"/>
    <x v="8"/>
    <x v="0"/>
    <x v="4"/>
    <s v="FxExposure"/>
    <x v="108"/>
    <x v="4"/>
    <x v="23"/>
    <x v="6"/>
    <x v="0"/>
  </r>
  <r>
    <s v="FxExposure"/>
    <x v="22"/>
    <n v="8.2260000000000009"/>
    <x v="0"/>
    <x v="18"/>
    <x v="1"/>
    <x v="4"/>
    <s v="FxExposure"/>
    <x v="108"/>
    <x v="4"/>
    <x v="23"/>
    <x v="6"/>
    <x v="0"/>
  </r>
  <r>
    <s v="FxExposure"/>
    <x v="14"/>
    <n v="0.79330000000000001"/>
    <x v="0"/>
    <x v="14"/>
    <x v="0"/>
    <x v="4"/>
    <s v="FxExposure"/>
    <x v="108"/>
    <x v="4"/>
    <x v="23"/>
    <x v="6"/>
    <x v="0"/>
  </r>
  <r>
    <s v="FxExposure"/>
    <x v="26"/>
    <n v="34.817999999999998"/>
    <x v="0"/>
    <x v="21"/>
    <x v="1"/>
    <x v="5"/>
    <s v="FxExposure"/>
    <x v="108"/>
    <x v="4"/>
    <x v="23"/>
    <x v="6"/>
    <x v="0"/>
  </r>
  <r>
    <s v="FxExposure"/>
    <x v="0"/>
    <n v="4.2412999999999998"/>
    <x v="0"/>
    <x v="0"/>
    <x v="0"/>
    <x v="0"/>
    <s v="FxExposure"/>
    <x v="108"/>
    <x v="4"/>
    <x v="23"/>
    <x v="6"/>
    <x v="0"/>
  </r>
  <r>
    <s v="FxExposure"/>
    <x v="9"/>
    <n v="7.0697999999999999"/>
    <x v="0"/>
    <x v="9"/>
    <x v="0"/>
    <x v="4"/>
    <s v="FxExposure"/>
    <x v="108"/>
    <x v="4"/>
    <x v="23"/>
    <x v="6"/>
    <x v="0"/>
  </r>
  <r>
    <s v="FxExposure"/>
    <x v="23"/>
    <n v="2.2774000000000001"/>
    <x v="0"/>
    <x v="19"/>
    <x v="0"/>
    <x v="4"/>
    <s v="FxExposure"/>
    <x v="108"/>
    <x v="4"/>
    <x v="23"/>
    <x v="6"/>
    <x v="0"/>
  </r>
  <r>
    <s v="FxExposure"/>
    <x v="24"/>
    <n v="5.6132"/>
    <x v="0"/>
    <x v="20"/>
    <x v="0"/>
    <x v="7"/>
    <s v="FxExposure"/>
    <x v="108"/>
    <x v="4"/>
    <x v="23"/>
    <x v="6"/>
    <x v="0"/>
  </r>
  <r>
    <s v="FxExposure"/>
    <x v="27"/>
    <n v="79.687100000000001"/>
    <x v="0"/>
    <x v="22"/>
    <x v="1"/>
    <x v="8"/>
    <s v="FxExposure"/>
    <x v="108"/>
    <x v="4"/>
    <x v="23"/>
    <x v="6"/>
    <x v="0"/>
  </r>
  <r>
    <s v="FxExposure"/>
    <x v="29"/>
    <n v="0.04"/>
    <x v="1"/>
    <x v="24"/>
    <x v="1"/>
    <x v="6"/>
    <s v="FxExposure"/>
    <x v="108"/>
    <x v="4"/>
    <x v="23"/>
    <x v="6"/>
    <x v="0"/>
  </r>
  <r>
    <s v="FxExposure"/>
    <x v="30"/>
    <n v="92.849000000000004"/>
    <x v="0"/>
    <x v="25"/>
    <x v="0"/>
    <x v="2"/>
    <s v="FxExposure"/>
    <x v="108"/>
    <x v="4"/>
    <x v="23"/>
    <x v="6"/>
    <x v="0"/>
  </r>
  <r>
    <s v="FxExposure"/>
    <x v="31"/>
    <n v="10"/>
    <x v="2"/>
    <x v="26"/>
    <x v="1"/>
    <x v="2"/>
    <s v="FxExposure"/>
    <x v="108"/>
    <x v="4"/>
    <x v="23"/>
    <x v="6"/>
    <x v="0"/>
  </r>
  <r>
    <s v="FxExposure"/>
    <x v="32"/>
    <n v="10"/>
    <x v="2"/>
    <x v="27"/>
    <x v="1"/>
    <x v="2"/>
    <s v="FxExposure"/>
    <x v="108"/>
    <x v="4"/>
    <x v="23"/>
    <x v="6"/>
    <x v="0"/>
  </r>
  <r>
    <s v="FxExposure"/>
    <x v="33"/>
    <n v="10"/>
    <x v="2"/>
    <x v="28"/>
    <x v="1"/>
    <x v="0"/>
    <s v="FxExposure"/>
    <x v="108"/>
    <x v="4"/>
    <x v="23"/>
    <x v="6"/>
    <x v="0"/>
  </r>
  <r>
    <s v="FxExposure"/>
    <x v="34"/>
    <n v="5"/>
    <x v="2"/>
    <x v="29"/>
    <x v="1"/>
    <x v="0"/>
    <s v="FxExposure"/>
    <x v="108"/>
    <x v="4"/>
    <x v="23"/>
    <x v="6"/>
    <x v="0"/>
  </r>
  <r>
    <s v="FxExposure"/>
    <x v="35"/>
    <n v="1"/>
    <x v="2"/>
    <x v="30"/>
    <x v="1"/>
    <x v="4"/>
    <s v="FxExposure"/>
    <x v="108"/>
    <x v="4"/>
    <x v="23"/>
    <x v="6"/>
    <x v="0"/>
  </r>
  <r>
    <s v="FxExposure"/>
    <x v="36"/>
    <n v="-4"/>
    <x v="2"/>
    <x v="31"/>
    <x v="1"/>
    <x v="4"/>
    <s v="FxExposure"/>
    <x v="108"/>
    <x v="4"/>
    <x v="23"/>
    <x v="6"/>
    <x v="0"/>
  </r>
  <r>
    <s v="FxExposure"/>
    <x v="37"/>
    <n v="1"/>
    <x v="2"/>
    <x v="32"/>
    <x v="1"/>
    <x v="5"/>
    <s v="FxExposure"/>
    <x v="108"/>
    <x v="4"/>
    <x v="23"/>
    <x v="6"/>
    <x v="0"/>
  </r>
  <r>
    <s v="FxExposure"/>
    <x v="38"/>
    <n v="-12"/>
    <x v="2"/>
    <x v="33"/>
    <x v="1"/>
    <x v="5"/>
    <s v="FxExposure"/>
    <x v="108"/>
    <x v="4"/>
    <x v="23"/>
    <x v="6"/>
    <x v="0"/>
  </r>
  <r>
    <s v="FxExposure"/>
    <x v="47"/>
    <n v="15"/>
    <x v="2"/>
    <x v="42"/>
    <x v="2"/>
    <x v="2"/>
    <s v="FxExposure"/>
    <x v="108"/>
    <x v="4"/>
    <x v="23"/>
    <x v="6"/>
    <x v="0"/>
  </r>
  <r>
    <s v="FxExposure"/>
    <x v="48"/>
    <n v="10"/>
    <x v="2"/>
    <x v="43"/>
    <x v="2"/>
    <x v="2"/>
    <s v="FxExposure"/>
    <x v="108"/>
    <x v="4"/>
    <x v="23"/>
    <x v="6"/>
    <x v="0"/>
  </r>
  <r>
    <s v="FxExposure"/>
    <x v="49"/>
    <n v="15"/>
    <x v="2"/>
    <x v="44"/>
    <x v="2"/>
    <x v="0"/>
    <s v="FxExposure"/>
    <x v="108"/>
    <x v="4"/>
    <x v="23"/>
    <x v="6"/>
    <x v="0"/>
  </r>
  <r>
    <s v="FxExposure"/>
    <x v="50"/>
    <n v="5"/>
    <x v="2"/>
    <x v="45"/>
    <x v="2"/>
    <x v="0"/>
    <s v="FxExposure"/>
    <x v="108"/>
    <x v="4"/>
    <x v="23"/>
    <x v="6"/>
    <x v="0"/>
  </r>
  <r>
    <s v="FxExposure"/>
    <x v="51"/>
    <n v="6"/>
    <x v="2"/>
    <x v="46"/>
    <x v="2"/>
    <x v="4"/>
    <s v="FxExposure"/>
    <x v="108"/>
    <x v="4"/>
    <x v="23"/>
    <x v="6"/>
    <x v="0"/>
  </r>
  <r>
    <s v="FxExposure"/>
    <x v="52"/>
    <n v="-1"/>
    <x v="2"/>
    <x v="47"/>
    <x v="2"/>
    <x v="4"/>
    <s v="FxExposure"/>
    <x v="108"/>
    <x v="4"/>
    <x v="23"/>
    <x v="6"/>
    <x v="0"/>
  </r>
  <r>
    <s v="FxExposure"/>
    <x v="53"/>
    <n v="5"/>
    <x v="2"/>
    <x v="48"/>
    <x v="2"/>
    <x v="5"/>
    <s v="FxExposure"/>
    <x v="108"/>
    <x v="4"/>
    <x v="23"/>
    <x v="6"/>
    <x v="0"/>
  </r>
  <r>
    <s v="FxExposure"/>
    <x v="54"/>
    <n v="-8"/>
    <x v="2"/>
    <x v="49"/>
    <x v="2"/>
    <x v="5"/>
    <s v="FxExposure"/>
    <x v="108"/>
    <x v="4"/>
    <x v="23"/>
    <x v="6"/>
    <x v="0"/>
  </r>
  <r>
    <s v="FxExposure"/>
    <x v="55"/>
    <n v="4"/>
    <x v="2"/>
    <x v="50"/>
    <x v="3"/>
    <x v="2"/>
    <s v="FxExposure"/>
    <x v="108"/>
    <x v="4"/>
    <x v="23"/>
    <x v="6"/>
    <x v="0"/>
  </r>
  <r>
    <s v="FxExposure"/>
    <x v="56"/>
    <n v="8"/>
    <x v="2"/>
    <x v="51"/>
    <x v="3"/>
    <x v="2"/>
    <s v="FxExposure"/>
    <x v="108"/>
    <x v="4"/>
    <x v="23"/>
    <x v="6"/>
    <x v="0"/>
  </r>
  <r>
    <s v="FxExposure"/>
    <x v="57"/>
    <n v="5"/>
    <x v="2"/>
    <x v="52"/>
    <x v="3"/>
    <x v="0"/>
    <s v="FxExposure"/>
    <x v="108"/>
    <x v="4"/>
    <x v="23"/>
    <x v="6"/>
    <x v="0"/>
  </r>
  <r>
    <s v="FxExposure"/>
    <x v="58"/>
    <n v="5"/>
    <x v="2"/>
    <x v="53"/>
    <x v="3"/>
    <x v="0"/>
    <s v="FxExposure"/>
    <x v="108"/>
    <x v="4"/>
    <x v="23"/>
    <x v="6"/>
    <x v="0"/>
  </r>
  <r>
    <s v="FxExposure"/>
    <x v="59"/>
    <n v="-1"/>
    <x v="2"/>
    <x v="54"/>
    <x v="3"/>
    <x v="4"/>
    <s v="FxExposure"/>
    <x v="108"/>
    <x v="4"/>
    <x v="23"/>
    <x v="6"/>
    <x v="0"/>
  </r>
  <r>
    <s v="FxExposure"/>
    <x v="60"/>
    <n v="0"/>
    <x v="2"/>
    <x v="55"/>
    <x v="3"/>
    <x v="4"/>
    <s v="FxExposure"/>
    <x v="108"/>
    <x v="4"/>
    <x v="23"/>
    <x v="6"/>
    <x v="0"/>
  </r>
  <r>
    <s v="FxExposure"/>
    <x v="61"/>
    <n v="6"/>
    <x v="2"/>
    <x v="56"/>
    <x v="3"/>
    <x v="5"/>
    <s v="FxExposure"/>
    <x v="108"/>
    <x v="4"/>
    <x v="23"/>
    <x v="6"/>
    <x v="0"/>
  </r>
  <r>
    <s v="FxExposure"/>
    <x v="62"/>
    <n v="-1"/>
    <x v="2"/>
    <x v="57"/>
    <x v="3"/>
    <x v="5"/>
    <s v="FxExposure"/>
    <x v="108"/>
    <x v="4"/>
    <x v="23"/>
    <x v="6"/>
    <x v="0"/>
  </r>
  <r>
    <s v="FxExposure"/>
    <x v="39"/>
    <n v="5"/>
    <x v="2"/>
    <x v="34"/>
    <x v="0"/>
    <x v="2"/>
    <s v="FxExposure"/>
    <x v="108"/>
    <x v="4"/>
    <x v="23"/>
    <x v="6"/>
    <x v="0"/>
  </r>
  <r>
    <s v="FxExposure"/>
    <x v="40"/>
    <n v="4"/>
    <x v="2"/>
    <x v="35"/>
    <x v="0"/>
    <x v="2"/>
    <s v="FxExposure"/>
    <x v="108"/>
    <x v="4"/>
    <x v="23"/>
    <x v="6"/>
    <x v="0"/>
  </r>
  <r>
    <s v="FxExposure"/>
    <x v="41"/>
    <n v="4"/>
    <x v="2"/>
    <x v="36"/>
    <x v="0"/>
    <x v="0"/>
    <s v="FxExposure"/>
    <x v="108"/>
    <x v="4"/>
    <x v="23"/>
    <x v="6"/>
    <x v="0"/>
  </r>
  <r>
    <s v="FxExposure"/>
    <x v="42"/>
    <n v="3"/>
    <x v="2"/>
    <x v="37"/>
    <x v="0"/>
    <x v="0"/>
    <s v="FxExposure"/>
    <x v="108"/>
    <x v="4"/>
    <x v="23"/>
    <x v="6"/>
    <x v="0"/>
  </r>
  <r>
    <s v="FxExposure"/>
    <x v="43"/>
    <n v="3"/>
    <x v="2"/>
    <x v="38"/>
    <x v="0"/>
    <x v="4"/>
    <s v="FxExposure"/>
    <x v="108"/>
    <x v="4"/>
    <x v="23"/>
    <x v="6"/>
    <x v="0"/>
  </r>
  <r>
    <s v="FxExposure"/>
    <x v="44"/>
    <n v="3"/>
    <x v="2"/>
    <x v="39"/>
    <x v="0"/>
    <x v="4"/>
    <s v="FxExposure"/>
    <x v="108"/>
    <x v="4"/>
    <x v="23"/>
    <x v="6"/>
    <x v="0"/>
  </r>
  <r>
    <s v="FxExposure"/>
    <x v="45"/>
    <n v="2"/>
    <x v="2"/>
    <x v="40"/>
    <x v="0"/>
    <x v="5"/>
    <s v="FxExposure"/>
    <x v="108"/>
    <x v="4"/>
    <x v="23"/>
    <x v="6"/>
    <x v="0"/>
  </r>
  <r>
    <s v="FxExposure"/>
    <x v="46"/>
    <n v="2"/>
    <x v="2"/>
    <x v="41"/>
    <x v="0"/>
    <x v="5"/>
    <s v="FxExposure"/>
    <x v="108"/>
    <x v="4"/>
    <x v="23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0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4" indent="0" showHeaders="0" outline="1" outlineData="1" multipleFieldFilters="0" fieldListSortAscending="1">
  <location ref="A5:S56" firstHeaderRow="1" firstDataRow="3" firstDataCol="4" rowPageCount="3" colPageCount="1"/>
  <pivotFields count="13">
    <pivotField showAll="0"/>
    <pivotField axis="axisCol" showAll="0" defaultSubtotal="0">
      <items count="66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1"/>
        <item x="22"/>
        <item x="1"/>
        <item x="2"/>
        <item x="26"/>
        <item x="9"/>
        <item x="23"/>
        <item x="0"/>
        <item x="15"/>
        <item x="16"/>
        <item x="5"/>
        <item x="17"/>
        <item x="24"/>
        <item x="30"/>
        <item x="65"/>
        <item x="10"/>
        <item x="3"/>
        <item x="4"/>
        <item sd="0" x="6"/>
        <item x="12"/>
        <item x="28"/>
        <item x="29"/>
        <item x="63"/>
        <item x="7"/>
        <item x="8"/>
        <item x="13"/>
        <item x="14"/>
        <item x="18"/>
        <item x="19"/>
        <item x="20"/>
        <item x="21"/>
        <item x="25"/>
        <item x="27"/>
        <item x="64"/>
      </items>
    </pivotField>
    <pivotField dataField="1" showAll="0"/>
    <pivotField axis="axisPage" multipleItemSelectionAllowed="1" showAll="0" defaultSubtotal="0">
      <items count="3">
        <item x="2"/>
        <item x="0"/>
        <item x="1"/>
      </items>
    </pivotField>
    <pivotField axis="axisCol" showAll="0" defaultSubtotal="0">
      <items count="61"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0"/>
        <item x="9"/>
        <item x="11"/>
        <item x="20"/>
        <item x="18"/>
        <item x="7"/>
        <item x="15"/>
        <item x="1"/>
        <item x="60"/>
        <item x="10"/>
        <item x="5"/>
        <item x="25"/>
        <item x="21"/>
        <item x="19"/>
        <item x="2"/>
        <item x="3"/>
        <item x="4"/>
        <item x="6"/>
        <item x="12"/>
        <item x="23"/>
        <item x="24"/>
        <item x="58"/>
        <item x="8"/>
        <item x="13"/>
        <item x="14"/>
        <item x="16"/>
        <item x="17"/>
        <item x="22"/>
        <item x="59"/>
      </items>
    </pivotField>
    <pivotField axis="axisPage" showAll="0">
      <items count="5">
        <item x="1"/>
        <item x="0"/>
        <item x="2"/>
        <item x="3"/>
        <item t="default"/>
      </items>
    </pivotField>
    <pivotField axis="axisPage" multipleItemSelectionAllowed="1" showAll="0">
      <items count="10">
        <item h="1" x="6"/>
        <item h="1" x="2"/>
        <item h="1" x="0"/>
        <item x="4"/>
        <item h="1" x="5"/>
        <item h="1" x="7"/>
        <item h="1" x="3"/>
        <item h="1" x="1"/>
        <item h="1" x="8"/>
        <item t="default"/>
      </items>
    </pivotField>
    <pivotField showAll="0"/>
    <pivotField axis="axisRow" outline="0" showAll="0" defaultSubtotal="0">
      <items count="113">
        <item x="92"/>
        <item x="13"/>
        <item x="11"/>
        <item x="23"/>
        <item x="21"/>
        <item x="1"/>
        <item x="68"/>
        <item x="69"/>
        <item x="58"/>
        <item x="7"/>
        <item x="93"/>
        <item x="55"/>
        <item x="107"/>
        <item x="70"/>
        <item x="71"/>
        <item x="12"/>
        <item x="72"/>
        <item x="64"/>
        <item x="65"/>
        <item x="73"/>
        <item x="63"/>
        <item m="1" x="110"/>
        <item m="1" x="111"/>
        <item m="1" x="112"/>
        <item x="22"/>
        <item x="20"/>
        <item x="67"/>
        <item x="44"/>
        <item x="33"/>
        <item x="103"/>
        <item x="74"/>
        <item x="41"/>
        <item x="40"/>
        <item x="75"/>
        <item x="42"/>
        <item x="94"/>
        <item x="43"/>
        <item x="15"/>
        <item x="14"/>
        <item x="52"/>
        <item x="96"/>
        <item x="54"/>
        <item x="38"/>
        <item x="85"/>
        <item x="86"/>
        <item x="87"/>
        <item x="19"/>
        <item x="76"/>
        <item x="49"/>
        <item x="97"/>
        <item x="98"/>
        <item x="99"/>
        <item x="48"/>
        <item x="45"/>
        <item x="46"/>
        <item x="47"/>
        <item x="16"/>
        <item x="9"/>
        <item x="88"/>
        <item x="83"/>
        <item x="10"/>
        <item x="37"/>
        <item x="35"/>
        <item x="90"/>
        <item x="3"/>
        <item x="100"/>
        <item x="101"/>
        <item x="102"/>
        <item x="78"/>
        <item x="77"/>
        <item x="79"/>
        <item x="66"/>
        <item x="80"/>
        <item x="81"/>
        <item x="82"/>
        <item x="61"/>
        <item x="60"/>
        <item x="17"/>
        <item x="18"/>
        <item m="1" x="109"/>
        <item x="2"/>
        <item x="104"/>
        <item x="105"/>
        <item x="106"/>
        <item x="0"/>
        <item x="6"/>
        <item x="8"/>
        <item sd="0" x="108"/>
        <item x="4"/>
        <item x="5"/>
        <item x="24"/>
        <item x="25"/>
        <item x="28"/>
        <item x="29"/>
        <item x="30"/>
        <item x="31"/>
        <item x="32"/>
        <item x="34"/>
        <item x="36"/>
        <item x="59"/>
        <item x="62"/>
        <item x="89"/>
        <item x="39"/>
        <item x="84"/>
        <item x="95"/>
        <item x="50"/>
        <item x="51"/>
        <item x="26"/>
        <item x="27"/>
        <item x="53"/>
        <item x="56"/>
        <item x="57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>
      <items count="8">
        <item x="2"/>
        <item x="3"/>
        <item x="0"/>
        <item x="1"/>
        <item x="4"/>
        <item x="5"/>
        <item x="6"/>
        <item t="default"/>
      </items>
    </pivotField>
    <pivotField axis="axisRow" outline="0" showAll="0" defaultSubtotal="0">
      <items count="24">
        <item x="16"/>
        <item x="19"/>
        <item x="8"/>
        <item x="10"/>
        <item x="9"/>
        <item x="22"/>
        <item x="17"/>
        <item x="13"/>
        <item x="11"/>
        <item x="14"/>
        <item x="6"/>
        <item x="2"/>
        <item x="12"/>
        <item x="21"/>
        <item x="5"/>
        <item x="23"/>
        <item x="7"/>
        <item x="4"/>
        <item x="15"/>
        <item x="1"/>
        <item x="3"/>
        <item x="18"/>
        <item x="20"/>
        <item sd="0" x="0"/>
      </items>
    </pivotField>
    <pivotField axis="axisRow" outline="0" showAll="0">
      <items count="8">
        <item x="4"/>
        <item x="1"/>
        <item x="2"/>
        <item x="0"/>
        <item x="5"/>
        <item x="3"/>
        <item x="6"/>
        <item t="default"/>
      </items>
    </pivotField>
    <pivotField showAll="0"/>
  </pivotFields>
  <rowFields count="4">
    <field x="9"/>
    <field x="10"/>
    <field x="8"/>
    <field x="11"/>
  </rowFields>
  <rowItems count="49">
    <i>
      <x/>
      <x v="5"/>
      <x v="12"/>
      <x v="3"/>
    </i>
    <i t="default">
      <x/>
    </i>
    <i>
      <x v="1"/>
      <x v="6"/>
      <x v="18"/>
      <x v="3"/>
    </i>
    <i r="1">
      <x v="7"/>
      <x v="39"/>
      <x v="3"/>
    </i>
    <i r="2">
      <x v="41"/>
      <x v="3"/>
    </i>
    <i r="2">
      <x v="50"/>
      <x v="3"/>
    </i>
    <i r="1">
      <x v="8"/>
      <x v="54"/>
      <x v="3"/>
    </i>
    <i r="1">
      <x v="9"/>
      <x v="8"/>
      <x v="3"/>
    </i>
    <i r="1">
      <x v="10"/>
      <x v="24"/>
      <x v="3"/>
    </i>
    <i r="1">
      <x v="21"/>
      <x/>
      <x v="3"/>
    </i>
    <i r="2">
      <x v="16"/>
      <x v="5"/>
    </i>
    <i r="2">
      <x v="19"/>
      <x v="5"/>
    </i>
    <i r="2">
      <x v="59"/>
      <x v="5"/>
    </i>
    <i r="2">
      <x v="65"/>
      <x v="3"/>
    </i>
    <i r="2">
      <x v="74"/>
      <x v="5"/>
    </i>
    <i t="default">
      <x v="1"/>
    </i>
    <i>
      <x v="2"/>
      <x/>
      <x v="17"/>
      <x v="3"/>
    </i>
    <i r="1">
      <x v="1"/>
      <x v="33"/>
      <x v="5"/>
    </i>
    <i r="1">
      <x v="2"/>
      <x v="10"/>
      <x v="3"/>
    </i>
    <i r="2">
      <x v="31"/>
      <x v="3"/>
    </i>
    <i r="1">
      <x v="3"/>
      <x v="27"/>
      <x v="3"/>
    </i>
    <i r="2">
      <x v="36"/>
      <x v="3"/>
    </i>
    <i r="1">
      <x v="4"/>
      <x v="40"/>
      <x v="3"/>
    </i>
    <i r="2">
      <x v="102"/>
      <x v="4"/>
    </i>
    <i r="1">
      <x v="13"/>
      <x v="35"/>
      <x v="5"/>
    </i>
    <i r="1">
      <x v="20"/>
      <x v="78"/>
      <x v="3"/>
    </i>
    <i r="1">
      <x v="23"/>
    </i>
    <i t="default">
      <x v="2"/>
    </i>
    <i>
      <x v="3"/>
      <x v="11"/>
      <x v="28"/>
      <x v="3"/>
    </i>
    <i r="2">
      <x v="58"/>
      <x v="5"/>
    </i>
    <i r="2">
      <x v="82"/>
      <x v="3"/>
    </i>
    <i r="2">
      <x v="85"/>
      <x v="2"/>
    </i>
    <i r="2">
      <x v="89"/>
      <x v="2"/>
    </i>
    <i r="1">
      <x v="12"/>
      <x v="48"/>
      <x v="3"/>
    </i>
    <i r="2">
      <x v="76"/>
      <x v="3"/>
    </i>
    <i r="2">
      <x v="100"/>
      <x v="3"/>
    </i>
    <i r="1">
      <x v="14"/>
      <x v="11"/>
      <x v="3"/>
    </i>
    <i r="2">
      <x v="25"/>
      <x v="3"/>
    </i>
    <i r="1">
      <x v="18"/>
      <x v="20"/>
      <x v="3"/>
    </i>
    <i r="1">
      <x v="19"/>
      <x v="43"/>
      <x v="3"/>
    </i>
    <i r="2">
      <x v="44"/>
      <x v="3"/>
    </i>
    <i r="2">
      <x v="45"/>
      <x v="3"/>
    </i>
    <i r="2">
      <x v="103"/>
      <x v="3"/>
    </i>
    <i r="1">
      <x v="22"/>
      <x v="66"/>
      <x v="3"/>
    </i>
    <i t="default">
      <x v="3"/>
    </i>
    <i>
      <x v="4"/>
      <x v="15"/>
      <x v="87"/>
    </i>
    <i t="default">
      <x v="4"/>
    </i>
    <i>
      <x v="6"/>
      <x v="16"/>
      <x v="104"/>
      <x v="5"/>
    </i>
    <i t="default">
      <x v="6"/>
    </i>
  </rowItems>
  <colFields count="2">
    <field x="1"/>
    <field x="4"/>
  </colFields>
  <colItems count="15">
    <i>
      <x v="12"/>
      <x v="12"/>
    </i>
    <i>
      <x v="13"/>
      <x v="13"/>
    </i>
    <i>
      <x v="37"/>
      <x v="33"/>
    </i>
    <i>
      <x v="38"/>
      <x v="45"/>
    </i>
    <i>
      <x v="42"/>
      <x v="42"/>
    </i>
    <i>
      <x v="49"/>
      <x v="48"/>
    </i>
    <i>
      <x v="51"/>
      <x v="50"/>
    </i>
    <i>
      <x v="55"/>
      <x v="37"/>
    </i>
    <i>
      <x v="56"/>
      <x v="54"/>
    </i>
    <i>
      <x v="57"/>
      <x v="55"/>
    </i>
    <i>
      <x v="58"/>
      <x v="56"/>
    </i>
    <i>
      <x v="59"/>
      <x v="57"/>
    </i>
    <i>
      <x v="61"/>
      <x v="54"/>
    </i>
    <i>
      <x v="62"/>
      <x v="54"/>
    </i>
    <i>
      <x v="63"/>
      <x v="37"/>
    </i>
  </colItems>
  <pageFields count="3">
    <pageField fld="5" item="1" hier="-1"/>
    <pageField fld="6" hier="-1"/>
    <pageField fld="3" hier="-1"/>
  </pageFields>
  <dataFields count="1">
    <dataField name="Sum of Weight" fld="2" baseField="10" baseItem="3" numFmtId="164"/>
  </dataFields>
  <formats count="10">
    <format dxfId="10">
      <pivotArea field="9" type="button" dataOnly="0" labelOnly="1" outline="0" axis="axisRow" fieldPosition="0"/>
    </format>
    <format dxfId="9">
      <pivotArea field="10" type="button" dataOnly="0" labelOnly="1" outline="0" axis="axisRow" fieldPosition="1"/>
    </format>
    <format dxfId="8">
      <pivotArea field="8" type="button" dataOnly="0" labelOnly="1" outline="0" axis="axisRow" fieldPosition="2"/>
    </format>
    <format dxfId="7">
      <pivotArea field="11" type="button" dataOnly="0" labelOnly="1" outline="0" axis="axisRow" fieldPosition="3"/>
    </format>
    <format dxfId="6">
      <pivotArea dataOnly="0" labelOnly="1" fieldPosition="0">
        <references count="1">
          <reference field="1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5">
      <pivotArea dataOnly="0" labelOnly="1" fieldPosition="0">
        <references count="1">
          <reference field="1" count="6">
            <x v="42"/>
            <x v="43"/>
            <x v="44"/>
            <x v="45"/>
            <x v="46"/>
            <x v="47"/>
          </reference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2">
          <reference field="1" count="1" selected="0">
            <x v="10"/>
          </reference>
          <reference field="4" count="1">
            <x v="10"/>
          </reference>
        </references>
      </pivotArea>
    </format>
    <format dxfId="2">
      <pivotArea dataOnly="0" labelOnly="1" fieldPosition="0">
        <references count="2">
          <reference field="1" count="1" selected="0">
            <x v="11"/>
          </reference>
          <reference field="4" count="1">
            <x v="11"/>
          </reference>
        </references>
      </pivotArea>
    </format>
    <format dxfId="1">
      <pivotArea dataOnly="0" labelOnly="1" fieldPosition="0">
        <references count="2">
          <reference field="1" count="1" selected="0">
            <x v="39"/>
          </reference>
          <reference field="4" count="1"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showGridLines="0" zoomScale="130" zoomScaleNormal="130" workbookViewId="0">
      <selection sqref="A1:M35"/>
    </sheetView>
  </sheetViews>
  <sheetFormatPr defaultRowHeight="15" outlineLevelCol="1" x14ac:dyDescent="0.25"/>
  <cols>
    <col min="1" max="1" width="11.85546875" bestFit="1" customWidth="1"/>
    <col min="2" max="2" width="20.85546875" customWidth="1"/>
    <col min="3" max="3" width="26" hidden="1" customWidth="1" outlineLevel="1"/>
    <col min="4" max="4" width="29.42578125" customWidth="1" collapsed="1"/>
    <col min="5" max="5" width="7.5703125" customWidth="1"/>
    <col min="6" max="13" width="9.5703125" style="51" customWidth="1"/>
    <col min="16" max="16" width="11.140625" bestFit="1" customWidth="1"/>
    <col min="17" max="17" width="10" bestFit="1" customWidth="1"/>
    <col min="23" max="23" width="18.28515625" style="79" customWidth="1"/>
    <col min="24" max="24" width="6.28515625" bestFit="1" customWidth="1"/>
    <col min="25" max="25" width="9.28515625" bestFit="1" customWidth="1"/>
    <col min="26" max="26" width="9.28515625" customWidth="1"/>
    <col min="27" max="29" width="9.28515625" bestFit="1" customWidth="1"/>
    <col min="30" max="31" width="9" bestFit="1" customWidth="1"/>
    <col min="32" max="32" width="7.28515625" bestFit="1" customWidth="1"/>
    <col min="33" max="33" width="9.28515625" bestFit="1" customWidth="1"/>
    <col min="34" max="34" width="9.7109375" bestFit="1" customWidth="1"/>
    <col min="35" max="35" width="8.28515625" bestFit="1" customWidth="1"/>
    <col min="36" max="36" width="10.7109375" bestFit="1" customWidth="1"/>
    <col min="37" max="38" width="9" bestFit="1" customWidth="1"/>
    <col min="39" max="39" width="10.7109375" bestFit="1" customWidth="1"/>
    <col min="40" max="40" width="7" bestFit="1" customWidth="1"/>
  </cols>
  <sheetData>
    <row r="1" spans="1:40" ht="15.75" thickBot="1" x14ac:dyDescent="0.3">
      <c r="A1" s="28"/>
      <c r="B1" s="28"/>
      <c r="C1" s="28"/>
      <c r="D1" s="28"/>
      <c r="E1" s="29"/>
      <c r="F1" s="124" t="s">
        <v>13</v>
      </c>
      <c r="G1" s="125"/>
      <c r="H1" s="125"/>
      <c r="I1" s="125"/>
      <c r="J1" s="125"/>
      <c r="K1" s="125"/>
      <c r="L1" s="125"/>
      <c r="M1" s="126"/>
    </row>
    <row r="2" spans="1:40" x14ac:dyDescent="0.25">
      <c r="A2" s="17"/>
      <c r="B2" s="18"/>
      <c r="C2" s="18"/>
      <c r="D2" s="18"/>
      <c r="E2" s="18"/>
      <c r="F2" s="129" t="s">
        <v>15</v>
      </c>
      <c r="G2" s="130"/>
      <c r="H2" s="129" t="s">
        <v>14</v>
      </c>
      <c r="I2" s="130"/>
      <c r="J2" s="129" t="s">
        <v>16</v>
      </c>
      <c r="K2" s="130"/>
      <c r="L2" s="129" t="s">
        <v>17</v>
      </c>
      <c r="M2" s="130"/>
      <c r="N2" s="127" t="s">
        <v>16</v>
      </c>
      <c r="O2" s="128"/>
      <c r="Y2" t="s">
        <v>171</v>
      </c>
    </row>
    <row r="3" spans="1:40" ht="15.75" thickBot="1" x14ac:dyDescent="0.3">
      <c r="A3" s="19" t="s">
        <v>37</v>
      </c>
      <c r="B3" s="20" t="s">
        <v>38</v>
      </c>
      <c r="C3" s="20" t="s">
        <v>114</v>
      </c>
      <c r="D3" s="20" t="s">
        <v>18</v>
      </c>
      <c r="E3" s="20" t="s">
        <v>115</v>
      </c>
      <c r="F3" s="30" t="s">
        <v>12</v>
      </c>
      <c r="G3" s="31" t="s">
        <v>11</v>
      </c>
      <c r="H3" s="30" t="s">
        <v>12</v>
      </c>
      <c r="I3" s="31" t="s">
        <v>11</v>
      </c>
      <c r="J3" s="30" t="s">
        <v>12</v>
      </c>
      <c r="K3" s="31" t="s">
        <v>11</v>
      </c>
      <c r="L3" s="30" t="s">
        <v>12</v>
      </c>
      <c r="M3" s="31" t="s">
        <v>11</v>
      </c>
      <c r="N3" s="109" t="s">
        <v>12</v>
      </c>
      <c r="O3" s="110" t="s">
        <v>11</v>
      </c>
      <c r="W3" s="79" t="s">
        <v>186</v>
      </c>
      <c r="Y3" t="s">
        <v>172</v>
      </c>
      <c r="Z3" t="s">
        <v>188</v>
      </c>
      <c r="AA3" t="s">
        <v>181</v>
      </c>
      <c r="AB3" t="s">
        <v>173</v>
      </c>
      <c r="AC3" t="s">
        <v>174</v>
      </c>
      <c r="AD3" t="s">
        <v>175</v>
      </c>
      <c r="AF3" t="s">
        <v>184</v>
      </c>
      <c r="AG3" t="s">
        <v>176</v>
      </c>
      <c r="AH3" t="s">
        <v>177</v>
      </c>
      <c r="AI3" t="s">
        <v>178</v>
      </c>
      <c r="AJ3" t="s">
        <v>179</v>
      </c>
      <c r="AK3" t="s">
        <v>180</v>
      </c>
      <c r="AM3" t="s">
        <v>1</v>
      </c>
    </row>
    <row r="4" spans="1:40" x14ac:dyDescent="0.25">
      <c r="F4" s="32"/>
      <c r="G4" s="33"/>
      <c r="H4" s="32"/>
      <c r="I4" s="33"/>
      <c r="J4" s="32"/>
      <c r="K4" s="33"/>
      <c r="L4" s="32"/>
      <c r="M4" s="33"/>
      <c r="N4" s="89"/>
      <c r="O4" s="90"/>
      <c r="W4" s="79">
        <v>17987198</v>
      </c>
      <c r="X4" t="s">
        <v>33</v>
      </c>
      <c r="Y4">
        <v>2.11</v>
      </c>
      <c r="AB4">
        <v>2.79</v>
      </c>
      <c r="AC4">
        <v>1.63</v>
      </c>
      <c r="AD4">
        <v>2.19</v>
      </c>
      <c r="AE4" t="s">
        <v>182</v>
      </c>
      <c r="AG4">
        <v>21.3</v>
      </c>
      <c r="AH4">
        <v>2.12</v>
      </c>
      <c r="AI4">
        <v>2.73</v>
      </c>
      <c r="AJ4">
        <v>29.38</v>
      </c>
      <c r="AK4">
        <v>1.64</v>
      </c>
      <c r="AM4">
        <v>34</v>
      </c>
      <c r="AN4">
        <f>SUM(Y4:AM4)</f>
        <v>99.89</v>
      </c>
    </row>
    <row r="5" spans="1:40" x14ac:dyDescent="0.25">
      <c r="A5" s="5" t="s">
        <v>0</v>
      </c>
      <c r="B5" s="5"/>
      <c r="C5" s="5"/>
      <c r="D5" s="6"/>
      <c r="E5" s="6"/>
      <c r="F5" s="34">
        <f>F6</f>
        <v>5</v>
      </c>
      <c r="G5" s="35">
        <f>G6</f>
        <v>18</v>
      </c>
      <c r="H5" s="34">
        <f t="shared" ref="H5:N5" si="0">H6</f>
        <v>5</v>
      </c>
      <c r="I5" s="35">
        <f>I6</f>
        <v>12</v>
      </c>
      <c r="J5" s="34">
        <f t="shared" si="0"/>
        <v>5</v>
      </c>
      <c r="K5" s="35">
        <f>K6</f>
        <v>8</v>
      </c>
      <c r="L5" s="34">
        <f t="shared" si="0"/>
        <v>5</v>
      </c>
      <c r="M5" s="35">
        <f>M6</f>
        <v>5</v>
      </c>
      <c r="N5" s="91">
        <f t="shared" si="0"/>
        <v>5</v>
      </c>
      <c r="O5" s="92">
        <f>O6</f>
        <v>5</v>
      </c>
      <c r="W5" s="79">
        <v>16541553</v>
      </c>
      <c r="X5" t="s">
        <v>24</v>
      </c>
      <c r="Y5">
        <v>3.17</v>
      </c>
      <c r="AA5">
        <v>2.44</v>
      </c>
      <c r="AB5">
        <v>2.85</v>
      </c>
      <c r="AC5">
        <v>2.95</v>
      </c>
      <c r="AD5">
        <v>2.88</v>
      </c>
      <c r="AE5" t="s">
        <v>183</v>
      </c>
      <c r="AF5">
        <v>0.04</v>
      </c>
      <c r="AG5">
        <v>27.78</v>
      </c>
      <c r="AI5">
        <v>4.87</v>
      </c>
      <c r="AJ5">
        <v>28</v>
      </c>
      <c r="AK5">
        <v>0.47</v>
      </c>
      <c r="AM5">
        <v>25</v>
      </c>
      <c r="AN5">
        <f>SUM(Y5:AM5)</f>
        <v>100.44999999999999</v>
      </c>
    </row>
    <row r="6" spans="1:40" x14ac:dyDescent="0.25">
      <c r="A6" s="8"/>
      <c r="B6" s="9" t="s">
        <v>1</v>
      </c>
      <c r="C6" s="9" t="s">
        <v>1</v>
      </c>
      <c r="D6" s="10" t="s">
        <v>1</v>
      </c>
      <c r="E6" s="10" t="s">
        <v>24</v>
      </c>
      <c r="F6" s="36">
        <v>5</v>
      </c>
      <c r="G6" s="37">
        <f>100-G16-G8-G25</f>
        <v>18</v>
      </c>
      <c r="H6" s="36">
        <v>5</v>
      </c>
      <c r="I6" s="37">
        <f>100-I16-I8-I25</f>
        <v>12</v>
      </c>
      <c r="J6" s="36">
        <v>5</v>
      </c>
      <c r="K6" s="37">
        <f>100-K16-K8-K25</f>
        <v>8</v>
      </c>
      <c r="L6" s="36">
        <v>5</v>
      </c>
      <c r="M6" s="37">
        <v>5</v>
      </c>
      <c r="N6" s="93">
        <v>5</v>
      </c>
      <c r="O6" s="94">
        <v>5</v>
      </c>
      <c r="P6" s="111">
        <f>$P$37*O6%</f>
        <v>2.5</v>
      </c>
      <c r="W6" s="79">
        <v>4746223</v>
      </c>
      <c r="X6" t="s">
        <v>34</v>
      </c>
      <c r="Y6">
        <v>3.19</v>
      </c>
      <c r="AB6">
        <v>3.54</v>
      </c>
      <c r="AC6">
        <v>2.37</v>
      </c>
      <c r="AG6">
        <v>26.91</v>
      </c>
      <c r="AJ6">
        <v>22.93</v>
      </c>
      <c r="AM6">
        <v>41</v>
      </c>
      <c r="AN6">
        <f>SUM(Y6:AM6)</f>
        <v>99.94</v>
      </c>
    </row>
    <row r="7" spans="1:40" x14ac:dyDescent="0.25">
      <c r="F7" s="32"/>
      <c r="G7" s="33"/>
      <c r="H7" s="32"/>
      <c r="I7" s="33"/>
      <c r="J7" s="32"/>
      <c r="K7" s="33"/>
      <c r="L7" s="32"/>
      <c r="M7" s="33"/>
      <c r="N7" s="89"/>
      <c r="O7" s="90"/>
    </row>
    <row r="8" spans="1:40" x14ac:dyDescent="0.25">
      <c r="A8" s="9" t="s">
        <v>2</v>
      </c>
      <c r="B8" s="9"/>
      <c r="C8" s="9"/>
      <c r="D8" s="8"/>
      <c r="E8" s="10"/>
      <c r="F8" s="85">
        <f>SUM(F9:F14)</f>
        <v>20</v>
      </c>
      <c r="G8" s="86">
        <f t="shared" ref="G8:M8" si="1">SUM(G9:G14)</f>
        <v>20</v>
      </c>
      <c r="H8" s="85">
        <f t="shared" si="1"/>
        <v>30</v>
      </c>
      <c r="I8" s="86">
        <f t="shared" si="1"/>
        <v>30</v>
      </c>
      <c r="J8" s="85">
        <f t="shared" si="1"/>
        <v>53</v>
      </c>
      <c r="K8" s="86">
        <f t="shared" si="1"/>
        <v>53</v>
      </c>
      <c r="L8" s="85">
        <f t="shared" si="1"/>
        <v>75</v>
      </c>
      <c r="M8" s="86">
        <f t="shared" si="1"/>
        <v>75</v>
      </c>
      <c r="N8" s="95">
        <f t="shared" ref="N8" si="2">SUM(N9:N14)</f>
        <v>53</v>
      </c>
      <c r="O8" s="96">
        <f t="shared" ref="O8" si="3">SUM(O9:O14)</f>
        <v>48.5</v>
      </c>
      <c r="R8" t="s">
        <v>33</v>
      </c>
      <c r="W8" s="79">
        <v>45149169</v>
      </c>
      <c r="X8" t="s">
        <v>185</v>
      </c>
      <c r="Y8">
        <f>0.67+1.24+0.84</f>
        <v>2.75</v>
      </c>
      <c r="AA8">
        <v>1.23</v>
      </c>
      <c r="AB8">
        <v>2.89</v>
      </c>
      <c r="AC8">
        <f>0.52+1.2+0.65</f>
        <v>2.37</v>
      </c>
      <c r="AD8">
        <v>2.33</v>
      </c>
      <c r="AF8">
        <v>0.02</v>
      </c>
      <c r="AG8">
        <v>24.24</v>
      </c>
      <c r="AH8">
        <v>0.84</v>
      </c>
      <c r="AI8">
        <v>3.54</v>
      </c>
      <c r="AJ8">
        <v>28.06</v>
      </c>
      <c r="AK8">
        <v>0.89</v>
      </c>
      <c r="AM8">
        <v>31</v>
      </c>
    </row>
    <row r="9" spans="1:40" x14ac:dyDescent="0.25">
      <c r="A9" s="2"/>
      <c r="B9" s="2" t="s">
        <v>170</v>
      </c>
      <c r="C9" t="s">
        <v>39</v>
      </c>
      <c r="D9" s="2" t="s">
        <v>65</v>
      </c>
      <c r="E9" s="3" t="s">
        <v>24</v>
      </c>
      <c r="F9" s="38">
        <v>20</v>
      </c>
      <c r="G9" s="39">
        <v>20</v>
      </c>
      <c r="H9" s="38">
        <v>23</v>
      </c>
      <c r="I9" s="39">
        <v>30</v>
      </c>
      <c r="J9" s="38">
        <v>40</v>
      </c>
      <c r="K9" s="39">
        <v>38</v>
      </c>
      <c r="L9" s="38">
        <v>62</v>
      </c>
      <c r="M9" s="39">
        <v>62</v>
      </c>
      <c r="N9" s="97">
        <v>40</v>
      </c>
      <c r="O9" s="98">
        <v>48.5</v>
      </c>
      <c r="P9" s="111">
        <f>$P$37*O9%</f>
        <v>24.25</v>
      </c>
      <c r="Q9">
        <f>(77000-4820-3370-34186)*145.95%%%</f>
        <v>5.0533728</v>
      </c>
    </row>
    <row r="10" spans="1:40" x14ac:dyDescent="0.25">
      <c r="A10" s="2"/>
      <c r="B10" s="2" t="s">
        <v>4</v>
      </c>
      <c r="C10" t="s">
        <v>41</v>
      </c>
      <c r="D10" s="2" t="s">
        <v>67</v>
      </c>
      <c r="E10" s="3" t="s">
        <v>24</v>
      </c>
      <c r="F10" s="38"/>
      <c r="G10" s="39"/>
      <c r="H10" s="38">
        <v>2</v>
      </c>
      <c r="I10" s="39"/>
      <c r="J10" s="38">
        <v>5</v>
      </c>
      <c r="K10" s="39">
        <v>5</v>
      </c>
      <c r="L10" s="38">
        <v>5</v>
      </c>
      <c r="M10" s="39">
        <v>5</v>
      </c>
      <c r="N10" s="97">
        <v>5</v>
      </c>
      <c r="O10" s="98"/>
      <c r="Q10" s="112">
        <f>P9-Q9</f>
        <v>19.196627200000002</v>
      </c>
      <c r="X10" s="82" t="s">
        <v>187</v>
      </c>
      <c r="Y10" s="82">
        <v>3</v>
      </c>
      <c r="Z10" s="82">
        <v>3</v>
      </c>
      <c r="AA10" s="82">
        <v>3</v>
      </c>
      <c r="AB10" s="82">
        <v>4</v>
      </c>
      <c r="AC10" s="82">
        <v>3</v>
      </c>
      <c r="AD10" s="82">
        <v>2.33</v>
      </c>
      <c r="AE10" s="82"/>
      <c r="AF10" s="82"/>
      <c r="AG10" s="82">
        <v>25</v>
      </c>
      <c r="AH10" s="82">
        <v>0</v>
      </c>
      <c r="AI10" s="82">
        <v>3.5</v>
      </c>
      <c r="AJ10" s="82">
        <v>35</v>
      </c>
      <c r="AK10" s="82">
        <v>0.89</v>
      </c>
      <c r="AL10" s="82"/>
      <c r="AM10" s="82">
        <v>20</v>
      </c>
    </row>
    <row r="11" spans="1:40" x14ac:dyDescent="0.25">
      <c r="A11" s="2"/>
      <c r="B11" s="2" t="s">
        <v>56</v>
      </c>
      <c r="C11" t="s">
        <v>57</v>
      </c>
      <c r="D11" s="2" t="s">
        <v>68</v>
      </c>
      <c r="E11" s="3" t="s">
        <v>34</v>
      </c>
      <c r="F11" s="38"/>
      <c r="G11" s="39"/>
      <c r="H11" s="38">
        <v>3</v>
      </c>
      <c r="I11" s="39"/>
      <c r="J11" s="38">
        <v>5</v>
      </c>
      <c r="K11" s="39">
        <v>5</v>
      </c>
      <c r="L11" s="38">
        <v>5</v>
      </c>
      <c r="M11" s="39">
        <v>5</v>
      </c>
      <c r="N11" s="97">
        <v>5</v>
      </c>
      <c r="O11" s="98"/>
      <c r="Q11" s="81">
        <f>+Q10*0.7%*1000000</f>
        <v>134376.3904</v>
      </c>
      <c r="R11" s="114">
        <f>Q11</f>
        <v>134376.3904</v>
      </c>
      <c r="S11" s="113">
        <v>1.4999999999999999E-2</v>
      </c>
      <c r="T11" s="113"/>
      <c r="U11" s="113"/>
      <c r="V11" s="113"/>
      <c r="Y11" s="80">
        <f>ROUND((Y10-Y8)*$W$8%/1000,0)</f>
        <v>113</v>
      </c>
      <c r="Z11" s="81">
        <f>ROUND((Z10-Z8)*$W$8%/1000,0)</f>
        <v>1354</v>
      </c>
      <c r="AA11" s="80">
        <f t="shared" ref="AA11:AM11" si="4">ROUND((AA10-AA8)*$W$8%/1000,0)</f>
        <v>799</v>
      </c>
      <c r="AB11" s="80">
        <f t="shared" si="4"/>
        <v>501</v>
      </c>
      <c r="AC11" s="80">
        <f t="shared" si="4"/>
        <v>284</v>
      </c>
      <c r="AD11" s="80">
        <f t="shared" si="4"/>
        <v>0</v>
      </c>
      <c r="AE11" s="80">
        <f t="shared" si="4"/>
        <v>0</v>
      </c>
      <c r="AF11" s="80">
        <f t="shared" si="4"/>
        <v>-9</v>
      </c>
      <c r="AG11" s="80">
        <f t="shared" si="4"/>
        <v>343</v>
      </c>
      <c r="AH11" s="80">
        <f t="shared" si="4"/>
        <v>-379</v>
      </c>
      <c r="AI11" s="80">
        <f t="shared" si="4"/>
        <v>-18</v>
      </c>
      <c r="AJ11" s="80">
        <f t="shared" si="4"/>
        <v>3133</v>
      </c>
      <c r="AK11" s="80">
        <f t="shared" si="4"/>
        <v>0</v>
      </c>
      <c r="AL11" s="80">
        <f t="shared" si="4"/>
        <v>0</v>
      </c>
      <c r="AM11" s="80">
        <f t="shared" si="4"/>
        <v>-4966</v>
      </c>
    </row>
    <row r="12" spans="1:40" x14ac:dyDescent="0.25">
      <c r="A12" s="2"/>
      <c r="B12" s="2" t="s">
        <v>5</v>
      </c>
      <c r="D12" s="2"/>
      <c r="E12" s="3" t="s">
        <v>24</v>
      </c>
      <c r="F12" s="38"/>
      <c r="G12" s="39"/>
      <c r="H12" s="38">
        <v>2</v>
      </c>
      <c r="I12" s="39"/>
      <c r="J12" s="38">
        <v>3</v>
      </c>
      <c r="K12" s="39">
        <v>5</v>
      </c>
      <c r="L12" s="38">
        <v>3</v>
      </c>
      <c r="M12" s="39">
        <v>3</v>
      </c>
      <c r="N12" s="97">
        <v>3</v>
      </c>
      <c r="O12" s="98"/>
    </row>
    <row r="13" spans="1:40" x14ac:dyDescent="0.25">
      <c r="A13" s="2"/>
      <c r="B13" s="2" t="s">
        <v>20</v>
      </c>
      <c r="D13" s="2"/>
      <c r="E13" s="3" t="s">
        <v>24</v>
      </c>
      <c r="F13" s="38"/>
      <c r="G13" s="39"/>
      <c r="H13" s="38"/>
      <c r="I13" s="39"/>
      <c r="J13" s="38"/>
      <c r="K13" s="39"/>
      <c r="L13" s="38"/>
      <c r="M13" s="39"/>
      <c r="N13" s="97"/>
      <c r="O13" s="98"/>
    </row>
    <row r="14" spans="1:40" x14ac:dyDescent="0.25">
      <c r="A14" s="2"/>
      <c r="B14" s="2" t="s">
        <v>21</v>
      </c>
      <c r="C14" t="s">
        <v>21</v>
      </c>
      <c r="D14" s="2" t="s">
        <v>21</v>
      </c>
      <c r="E14" s="3" t="s">
        <v>24</v>
      </c>
      <c r="F14" s="38"/>
      <c r="G14" s="39"/>
      <c r="H14" s="38"/>
      <c r="I14" s="39"/>
      <c r="J14" s="38"/>
      <c r="K14" s="39"/>
      <c r="L14" s="38"/>
      <c r="M14" s="39"/>
      <c r="N14" s="97"/>
      <c r="O14" s="98"/>
    </row>
    <row r="15" spans="1:40" x14ac:dyDescent="0.25">
      <c r="A15" s="2"/>
      <c r="B15" s="2"/>
      <c r="D15" s="2"/>
      <c r="F15" s="32"/>
      <c r="G15" s="33"/>
      <c r="H15" s="32"/>
      <c r="I15" s="33"/>
      <c r="J15" s="32"/>
      <c r="K15" s="33"/>
      <c r="L15" s="32"/>
      <c r="M15" s="33"/>
      <c r="N15" s="89"/>
      <c r="O15" s="90"/>
      <c r="W15" s="79" t="s">
        <v>15</v>
      </c>
      <c r="Y15">
        <v>4.2</v>
      </c>
      <c r="AB15">
        <v>5.4</v>
      </c>
      <c r="AC15">
        <v>3.2</v>
      </c>
      <c r="AG15">
        <v>23.7</v>
      </c>
      <c r="AH15">
        <v>5.5</v>
      </c>
      <c r="AI15">
        <v>4.7</v>
      </c>
      <c r="AJ15">
        <v>38.200000000000003</v>
      </c>
      <c r="AK15">
        <v>3.3</v>
      </c>
    </row>
    <row r="16" spans="1:40" x14ac:dyDescent="0.25">
      <c r="A16" s="9" t="s">
        <v>6</v>
      </c>
      <c r="B16" s="9"/>
      <c r="C16" s="9"/>
      <c r="D16" s="9"/>
      <c r="E16" s="8"/>
      <c r="F16" s="85">
        <f>SUM(F17:F23)</f>
        <v>60</v>
      </c>
      <c r="G16" s="86">
        <f t="shared" ref="G16:M16" si="5">SUM(G17:G23)</f>
        <v>47</v>
      </c>
      <c r="H16" s="85">
        <f t="shared" si="5"/>
        <v>48</v>
      </c>
      <c r="I16" s="86">
        <f t="shared" si="5"/>
        <v>40</v>
      </c>
      <c r="J16" s="85">
        <f t="shared" si="5"/>
        <v>30</v>
      </c>
      <c r="K16" s="86">
        <f t="shared" si="5"/>
        <v>27</v>
      </c>
      <c r="L16" s="85">
        <f t="shared" si="5"/>
        <v>10</v>
      </c>
      <c r="M16" s="86">
        <f t="shared" si="5"/>
        <v>10</v>
      </c>
      <c r="N16" s="95">
        <f t="shared" ref="N16" si="6">SUM(N17:N23)</f>
        <v>30</v>
      </c>
      <c r="O16" s="96">
        <f t="shared" ref="O16" si="7">SUM(O17:O23)</f>
        <v>25</v>
      </c>
      <c r="W16" s="79" t="s">
        <v>189</v>
      </c>
      <c r="Y16">
        <v>4.5999999999999996</v>
      </c>
      <c r="AB16">
        <v>3.4</v>
      </c>
      <c r="AC16">
        <v>3.5</v>
      </c>
      <c r="AG16">
        <v>33.9</v>
      </c>
      <c r="AI16">
        <v>8.6</v>
      </c>
      <c r="AJ16">
        <v>39.299999999999997</v>
      </c>
    </row>
    <row r="17" spans="1:36" x14ac:dyDescent="0.25">
      <c r="A17" s="11"/>
      <c r="B17" s="11" t="s">
        <v>22</v>
      </c>
      <c r="C17" s="12" t="s">
        <v>43</v>
      </c>
      <c r="D17" s="11" t="s">
        <v>71</v>
      </c>
      <c r="E17" s="13" t="s">
        <v>24</v>
      </c>
      <c r="F17" s="42">
        <v>50</v>
      </c>
      <c r="G17" s="43">
        <v>40</v>
      </c>
      <c r="H17" s="42">
        <v>37</v>
      </c>
      <c r="I17" s="43">
        <v>33</v>
      </c>
      <c r="J17" s="42">
        <v>26</v>
      </c>
      <c r="K17" s="43">
        <v>23</v>
      </c>
      <c r="L17" s="42">
        <v>10</v>
      </c>
      <c r="M17" s="43">
        <v>10</v>
      </c>
      <c r="N17" s="99">
        <v>26</v>
      </c>
      <c r="O17" s="100">
        <v>25</v>
      </c>
      <c r="P17" s="111">
        <f>$P$37*O17%</f>
        <v>12.5</v>
      </c>
      <c r="Q17">
        <f>(73900-6543-3277-31160)*95.4%%%</f>
        <v>3.140568</v>
      </c>
      <c r="W17" s="79" t="s">
        <v>16</v>
      </c>
      <c r="Y17">
        <v>3.9</v>
      </c>
      <c r="AB17">
        <v>5.3</v>
      </c>
      <c r="AC17">
        <v>3.1</v>
      </c>
      <c r="AG17">
        <v>31.9</v>
      </c>
      <c r="AJ17">
        <v>15.9</v>
      </c>
    </row>
    <row r="18" spans="1:36" x14ac:dyDescent="0.25">
      <c r="A18" s="2"/>
      <c r="B18" s="2" t="s">
        <v>8</v>
      </c>
      <c r="C18" t="s">
        <v>45</v>
      </c>
      <c r="D18" s="2" t="s">
        <v>73</v>
      </c>
      <c r="E18" s="14" t="s">
        <v>24</v>
      </c>
      <c r="F18" s="38">
        <v>3</v>
      </c>
      <c r="G18" s="39">
        <v>3</v>
      </c>
      <c r="H18" s="38">
        <v>3</v>
      </c>
      <c r="I18" s="39">
        <v>3</v>
      </c>
      <c r="J18" s="38">
        <v>2</v>
      </c>
      <c r="K18" s="39">
        <v>2</v>
      </c>
      <c r="L18" s="38"/>
      <c r="M18" s="39"/>
      <c r="N18" s="97">
        <v>2</v>
      </c>
      <c r="O18" s="98"/>
      <c r="Q18" s="112">
        <f>P17-Q17</f>
        <v>9.359432</v>
      </c>
      <c r="W18" s="79" t="s">
        <v>17</v>
      </c>
    </row>
    <row r="19" spans="1:36" x14ac:dyDescent="0.25">
      <c r="A19" s="2"/>
      <c r="B19" s="2" t="s">
        <v>7</v>
      </c>
      <c r="C19" t="s">
        <v>40</v>
      </c>
      <c r="D19" s="2" t="s">
        <v>74</v>
      </c>
      <c r="E19" s="14" t="s">
        <v>24</v>
      </c>
      <c r="F19" s="38">
        <v>4</v>
      </c>
      <c r="G19" s="39">
        <v>4</v>
      </c>
      <c r="H19" s="38">
        <v>4</v>
      </c>
      <c r="I19" s="39">
        <v>4</v>
      </c>
      <c r="J19" s="38">
        <v>2</v>
      </c>
      <c r="K19" s="39">
        <v>2</v>
      </c>
      <c r="L19" s="38"/>
      <c r="M19" s="39"/>
      <c r="N19" s="97">
        <v>2</v>
      </c>
      <c r="O19" s="98"/>
      <c r="Q19" s="81">
        <f>+Q18*0.5%*1000000</f>
        <v>46797.16</v>
      </c>
      <c r="R19" s="114">
        <f>Q19</f>
        <v>46797.16</v>
      </c>
      <c r="S19" s="78">
        <v>0.01</v>
      </c>
      <c r="T19" s="78"/>
      <c r="U19" s="78"/>
      <c r="V19" s="78"/>
      <c r="W19" s="79" t="s">
        <v>190</v>
      </c>
    </row>
    <row r="20" spans="1:36" x14ac:dyDescent="0.25">
      <c r="A20" s="2"/>
      <c r="B20" s="2" t="s">
        <v>8</v>
      </c>
      <c r="D20" s="2"/>
      <c r="E20" s="14" t="s">
        <v>24</v>
      </c>
      <c r="F20" s="38"/>
      <c r="G20" s="39"/>
      <c r="H20" s="38"/>
      <c r="I20" s="39"/>
      <c r="J20" s="38"/>
      <c r="K20" s="39"/>
      <c r="L20" s="38"/>
      <c r="M20" s="39"/>
      <c r="N20" s="97"/>
      <c r="O20" s="98"/>
    </row>
    <row r="21" spans="1:36" x14ac:dyDescent="0.25">
      <c r="A21" s="2"/>
      <c r="B21" s="2" t="s">
        <v>25</v>
      </c>
      <c r="D21" s="2"/>
      <c r="E21" s="14" t="s">
        <v>24</v>
      </c>
      <c r="F21" s="38">
        <v>3</v>
      </c>
      <c r="G21" s="39"/>
      <c r="H21" s="38">
        <v>4</v>
      </c>
      <c r="I21" s="39"/>
      <c r="J21" s="38"/>
      <c r="K21" s="39"/>
      <c r="L21" s="38"/>
      <c r="M21" s="39"/>
      <c r="N21" s="97"/>
      <c r="O21" s="98"/>
      <c r="Q21" s="114"/>
      <c r="R21" s="114"/>
    </row>
    <row r="22" spans="1:36" x14ac:dyDescent="0.25">
      <c r="A22" s="2"/>
      <c r="B22" s="2" t="s">
        <v>55</v>
      </c>
      <c r="D22" s="2"/>
      <c r="E22" s="14" t="s">
        <v>24</v>
      </c>
      <c r="F22" s="38"/>
      <c r="G22" s="39"/>
      <c r="H22" s="38"/>
      <c r="I22" s="39"/>
      <c r="J22" s="38"/>
      <c r="K22" s="39"/>
      <c r="L22" s="38"/>
      <c r="M22" s="39"/>
      <c r="N22" s="97"/>
      <c r="O22" s="98"/>
    </row>
    <row r="23" spans="1:36" x14ac:dyDescent="0.25">
      <c r="A23" s="2"/>
      <c r="B23" s="2" t="s">
        <v>26</v>
      </c>
      <c r="C23" t="s">
        <v>26</v>
      </c>
      <c r="D23" s="2" t="s">
        <v>26</v>
      </c>
      <c r="E23" s="14" t="s">
        <v>24</v>
      </c>
      <c r="F23" s="38"/>
      <c r="G23" s="39"/>
      <c r="H23" s="38"/>
      <c r="I23" s="39"/>
      <c r="J23" s="38"/>
      <c r="K23" s="39"/>
      <c r="L23" s="38"/>
      <c r="M23" s="39"/>
      <c r="N23" s="97"/>
      <c r="O23" s="98"/>
    </row>
    <row r="24" spans="1:36" x14ac:dyDescent="0.25">
      <c r="A24" s="2"/>
      <c r="B24" s="2"/>
      <c r="D24" s="2"/>
      <c r="F24" s="32"/>
      <c r="G24" s="33"/>
      <c r="H24" s="32"/>
      <c r="I24" s="33"/>
      <c r="J24" s="32"/>
      <c r="K24" s="33"/>
      <c r="L24" s="32"/>
      <c r="M24" s="33"/>
      <c r="N24" s="89"/>
      <c r="O24" s="90"/>
    </row>
    <row r="25" spans="1:36" x14ac:dyDescent="0.25">
      <c r="A25" s="9" t="s">
        <v>9</v>
      </c>
      <c r="B25" s="9"/>
      <c r="C25" s="9"/>
      <c r="D25" s="9"/>
      <c r="E25" s="8"/>
      <c r="F25" s="85">
        <f>SUM(F26:F31)</f>
        <v>15</v>
      </c>
      <c r="G25" s="86">
        <f t="shared" ref="G25:M25" si="8">SUM(G26:G31)</f>
        <v>15</v>
      </c>
      <c r="H25" s="85">
        <f t="shared" si="8"/>
        <v>17</v>
      </c>
      <c r="I25" s="86">
        <f t="shared" si="8"/>
        <v>18</v>
      </c>
      <c r="J25" s="85">
        <f t="shared" si="8"/>
        <v>12</v>
      </c>
      <c r="K25" s="86">
        <f t="shared" si="8"/>
        <v>12</v>
      </c>
      <c r="L25" s="85">
        <f t="shared" si="8"/>
        <v>10</v>
      </c>
      <c r="M25" s="86">
        <f t="shared" si="8"/>
        <v>10</v>
      </c>
      <c r="N25" s="95">
        <f t="shared" ref="N25" si="9">SUM(N26:N31)</f>
        <v>12</v>
      </c>
      <c r="O25" s="96">
        <f t="shared" ref="O25" si="10">SUM(O26:O31)</f>
        <v>21.5</v>
      </c>
    </row>
    <row r="26" spans="1:36" x14ac:dyDescent="0.25">
      <c r="A26" s="2"/>
      <c r="B26" s="2" t="s">
        <v>27</v>
      </c>
      <c r="C26" t="s">
        <v>160</v>
      </c>
      <c r="D26" s="4" t="s">
        <v>116</v>
      </c>
      <c r="E26" s="14" t="s">
        <v>24</v>
      </c>
      <c r="F26" s="38">
        <v>3</v>
      </c>
      <c r="G26" s="39">
        <v>3</v>
      </c>
      <c r="H26" s="38">
        <v>2</v>
      </c>
      <c r="I26" s="39">
        <v>3.5</v>
      </c>
      <c r="J26" s="38">
        <v>2</v>
      </c>
      <c r="K26" s="39">
        <v>2</v>
      </c>
      <c r="L26" s="38">
        <v>3</v>
      </c>
      <c r="M26" s="39">
        <v>3</v>
      </c>
      <c r="N26" s="97">
        <v>2</v>
      </c>
      <c r="O26" s="98"/>
    </row>
    <row r="27" spans="1:36" x14ac:dyDescent="0.25">
      <c r="A27" s="2"/>
      <c r="B27" s="2" t="s">
        <v>23</v>
      </c>
      <c r="C27" s="1" t="s">
        <v>47</v>
      </c>
      <c r="D27" s="4" t="s">
        <v>80</v>
      </c>
      <c r="E27" s="14" t="s">
        <v>24</v>
      </c>
      <c r="F27" s="38">
        <v>2</v>
      </c>
      <c r="G27" s="39">
        <v>2</v>
      </c>
      <c r="H27" s="38">
        <v>3</v>
      </c>
      <c r="I27" s="39">
        <v>3</v>
      </c>
      <c r="J27" s="38">
        <v>2</v>
      </c>
      <c r="K27" s="39">
        <v>2</v>
      </c>
      <c r="L27" s="38">
        <v>2</v>
      </c>
      <c r="M27" s="39">
        <v>2</v>
      </c>
      <c r="N27" s="97">
        <v>2</v>
      </c>
      <c r="O27" s="98">
        <v>8</v>
      </c>
      <c r="P27" s="111">
        <f>$P$37*O27%</f>
        <v>4</v>
      </c>
      <c r="Q27" s="2">
        <f>(-32000+77000)*121.66/1000000</f>
        <v>5.4747000000000003</v>
      </c>
      <c r="W27" s="88"/>
    </row>
    <row r="28" spans="1:36" x14ac:dyDescent="0.25">
      <c r="A28" s="2"/>
      <c r="B28" s="2" t="s">
        <v>10</v>
      </c>
      <c r="C28" s="1" t="s">
        <v>193</v>
      </c>
      <c r="D28" s="4" t="s">
        <v>168</v>
      </c>
      <c r="E28" s="14" t="s">
        <v>34</v>
      </c>
      <c r="F28" s="38">
        <v>2</v>
      </c>
      <c r="G28" s="39">
        <v>2</v>
      </c>
      <c r="H28" s="38">
        <v>3</v>
      </c>
      <c r="I28" s="39">
        <v>3</v>
      </c>
      <c r="J28" s="38">
        <v>2</v>
      </c>
      <c r="K28" s="39">
        <v>2</v>
      </c>
      <c r="L28" s="38">
        <v>2</v>
      </c>
      <c r="M28" s="39">
        <v>2</v>
      </c>
      <c r="N28" s="97">
        <v>2</v>
      </c>
      <c r="O28" s="98"/>
      <c r="Q28" s="112">
        <f>+P27-Q27</f>
        <v>-1.4747000000000003</v>
      </c>
      <c r="S28" s="113"/>
      <c r="T28" s="113"/>
      <c r="U28" s="113"/>
      <c r="V28" s="113"/>
      <c r="W28" s="88"/>
    </row>
    <row r="29" spans="1:36" x14ac:dyDescent="0.25">
      <c r="A29" s="2"/>
      <c r="B29" s="2" t="s">
        <v>10</v>
      </c>
      <c r="C29" s="1" t="s">
        <v>49</v>
      </c>
      <c r="D29" s="4" t="s">
        <v>82</v>
      </c>
      <c r="E29" s="14" t="s">
        <v>24</v>
      </c>
      <c r="F29" s="38">
        <v>3</v>
      </c>
      <c r="G29" s="39">
        <v>3</v>
      </c>
      <c r="H29" s="38">
        <v>4</v>
      </c>
      <c r="I29" s="39">
        <v>3.5</v>
      </c>
      <c r="J29" s="38">
        <v>3</v>
      </c>
      <c r="K29" s="39">
        <v>3</v>
      </c>
      <c r="L29" s="38">
        <v>3</v>
      </c>
      <c r="M29" s="39">
        <v>3</v>
      </c>
      <c r="N29" s="97">
        <v>3</v>
      </c>
      <c r="O29" s="98"/>
      <c r="P29" s="78"/>
      <c r="R29" s="81">
        <f>+Q28*0.7%*1000000</f>
        <v>-10322.900000000001</v>
      </c>
      <c r="S29" s="113">
        <v>4.0000000000000001E-3</v>
      </c>
      <c r="T29" s="114"/>
      <c r="U29" s="114"/>
      <c r="V29" s="114"/>
      <c r="W29" s="88">
        <v>10</v>
      </c>
      <c r="Y29" s="87">
        <f>SUM(W27:W40)</f>
        <v>27.5</v>
      </c>
    </row>
    <row r="30" spans="1:36" x14ac:dyDescent="0.25">
      <c r="A30" s="2"/>
      <c r="B30" s="2" t="s">
        <v>28</v>
      </c>
      <c r="C30" s="1" t="s">
        <v>167</v>
      </c>
      <c r="D30" s="2" t="s">
        <v>164</v>
      </c>
      <c r="E30" s="14" t="s">
        <v>24</v>
      </c>
      <c r="F30" s="38">
        <v>5</v>
      </c>
      <c r="G30" s="39">
        <v>5</v>
      </c>
      <c r="H30" s="38">
        <v>5</v>
      </c>
      <c r="I30" s="39">
        <v>5</v>
      </c>
      <c r="J30" s="38">
        <v>3</v>
      </c>
      <c r="K30" s="39">
        <v>3</v>
      </c>
      <c r="L30" s="38"/>
      <c r="M30" s="39"/>
      <c r="N30" s="97">
        <v>3</v>
      </c>
      <c r="O30" s="98"/>
      <c r="W30" s="88">
        <v>3</v>
      </c>
    </row>
    <row r="31" spans="1:36" x14ac:dyDescent="0.25">
      <c r="A31" s="2"/>
      <c r="B31" s="4" t="s">
        <v>29</v>
      </c>
      <c r="C31" s="1" t="s">
        <v>29</v>
      </c>
      <c r="D31" s="14" t="s">
        <v>29</v>
      </c>
      <c r="E31" s="14" t="s">
        <v>24</v>
      </c>
      <c r="F31" s="38"/>
      <c r="G31" s="39"/>
      <c r="H31" s="38"/>
      <c r="I31" s="39"/>
      <c r="J31" s="38"/>
      <c r="K31" s="39"/>
      <c r="L31" s="38"/>
      <c r="M31" s="39"/>
      <c r="N31" s="97"/>
      <c r="O31" s="98">
        <v>13.5</v>
      </c>
      <c r="P31" s="111">
        <f>$P$37*O31%</f>
        <v>6.75</v>
      </c>
      <c r="W31" s="88">
        <v>1.5</v>
      </c>
    </row>
    <row r="32" spans="1:36" x14ac:dyDescent="0.25">
      <c r="A32" s="5"/>
      <c r="B32" s="5"/>
      <c r="C32" s="6"/>
      <c r="D32" s="5"/>
      <c r="E32" s="6"/>
      <c r="F32" s="83"/>
      <c r="G32" s="84"/>
      <c r="H32" s="83"/>
      <c r="I32" s="84"/>
      <c r="J32" s="83"/>
      <c r="K32" s="84"/>
      <c r="L32" s="83"/>
      <c r="M32" s="84"/>
      <c r="N32" s="101"/>
      <c r="O32" s="102"/>
      <c r="W32" s="88">
        <v>6</v>
      </c>
    </row>
    <row r="33" spans="1:23" x14ac:dyDescent="0.25">
      <c r="A33" s="2" t="s">
        <v>31</v>
      </c>
      <c r="B33" s="2"/>
      <c r="D33" s="2"/>
      <c r="F33" s="32"/>
      <c r="G33" s="33"/>
      <c r="H33" s="32"/>
      <c r="I33" s="33"/>
      <c r="J33" s="32"/>
      <c r="K33" s="33"/>
      <c r="L33" s="32"/>
      <c r="M33" s="33"/>
      <c r="N33" s="89"/>
      <c r="O33" s="90"/>
      <c r="Q33" s="114">
        <f>Q11+Q19+Q29</f>
        <v>181173.55040000001</v>
      </c>
      <c r="R33" s="114">
        <f>R11+R19+R29</f>
        <v>170850.65040000001</v>
      </c>
      <c r="S33" s="114">
        <f>+Q33+R33</f>
        <v>352024.20079999999</v>
      </c>
      <c r="W33" s="88">
        <v>7</v>
      </c>
    </row>
    <row r="34" spans="1:23" x14ac:dyDescent="0.25">
      <c r="A34" s="8"/>
      <c r="B34" s="9" t="s">
        <v>91</v>
      </c>
      <c r="C34" s="8" t="s">
        <v>169</v>
      </c>
      <c r="D34" s="9" t="s">
        <v>169</v>
      </c>
      <c r="E34" s="10" t="s">
        <v>34</v>
      </c>
      <c r="F34" s="36"/>
      <c r="G34" s="37"/>
      <c r="H34" s="36"/>
      <c r="I34" s="37"/>
      <c r="J34" s="36"/>
      <c r="K34" s="37">
        <v>-4</v>
      </c>
      <c r="L34" s="36"/>
      <c r="M34" s="37">
        <v>-4</v>
      </c>
      <c r="N34" s="93"/>
      <c r="O34" s="94">
        <v>0</v>
      </c>
      <c r="W34" s="88" t="s">
        <v>192</v>
      </c>
    </row>
    <row r="35" spans="1:23" ht="15.75" thickBot="1" x14ac:dyDescent="0.3">
      <c r="B35" s="2"/>
      <c r="C35" s="1"/>
      <c r="D35" s="2"/>
      <c r="E35" s="3"/>
      <c r="F35" s="32"/>
      <c r="G35" s="33"/>
      <c r="H35" s="32"/>
      <c r="I35" s="33"/>
      <c r="J35" s="32"/>
      <c r="K35" s="33"/>
      <c r="L35" s="32"/>
      <c r="M35" s="33"/>
      <c r="N35" s="89"/>
      <c r="O35" s="90"/>
      <c r="Q35" s="111">
        <f>+Q10+Q18</f>
        <v>28.5560592</v>
      </c>
      <c r="W35" s="88"/>
    </row>
    <row r="36" spans="1:23" x14ac:dyDescent="0.25">
      <c r="D36" s="2"/>
      <c r="F36" s="44"/>
      <c r="G36" s="45"/>
      <c r="H36" s="44"/>
      <c r="I36" s="45"/>
      <c r="J36" s="44"/>
      <c r="K36" s="45"/>
      <c r="L36" s="44"/>
      <c r="M36" s="45"/>
      <c r="N36" s="103"/>
      <c r="O36" s="104"/>
      <c r="V36" t="s">
        <v>192</v>
      </c>
      <c r="W36" s="88"/>
    </row>
    <row r="37" spans="1:23" x14ac:dyDescent="0.25">
      <c r="D37" s="2" t="s">
        <v>30</v>
      </c>
      <c r="F37" s="46">
        <f t="shared" ref="F37:M37" si="11">+F25+F16+F8+F5</f>
        <v>100</v>
      </c>
      <c r="G37" s="47">
        <f t="shared" si="11"/>
        <v>100</v>
      </c>
      <c r="H37" s="46">
        <f t="shared" si="11"/>
        <v>100</v>
      </c>
      <c r="I37" s="47">
        <f t="shared" si="11"/>
        <v>100</v>
      </c>
      <c r="J37" s="46">
        <f t="shared" si="11"/>
        <v>100</v>
      </c>
      <c r="K37" s="47">
        <f t="shared" si="11"/>
        <v>100</v>
      </c>
      <c r="L37" s="46">
        <f t="shared" si="11"/>
        <v>100</v>
      </c>
      <c r="M37" s="47">
        <f t="shared" si="11"/>
        <v>100</v>
      </c>
      <c r="N37" s="105">
        <f t="shared" ref="N37:O37" si="12">+N25+N16+N8+N5</f>
        <v>100</v>
      </c>
      <c r="O37" s="106">
        <f t="shared" si="12"/>
        <v>100</v>
      </c>
      <c r="P37">
        <v>50</v>
      </c>
    </row>
    <row r="38" spans="1:23" ht="15.75" thickBot="1" x14ac:dyDescent="0.3">
      <c r="D38" s="2" t="s">
        <v>32</v>
      </c>
      <c r="F38" s="48">
        <f t="shared" ref="F38:M38" si="13">SUMIF($E$5:$E$34,"&lt;&gt;EUR",F5:F34)-100</f>
        <v>2</v>
      </c>
      <c r="G38" s="49">
        <f t="shared" si="13"/>
        <v>2</v>
      </c>
      <c r="H38" s="48">
        <f t="shared" si="13"/>
        <v>6</v>
      </c>
      <c r="I38" s="49">
        <f t="shared" si="13"/>
        <v>3</v>
      </c>
      <c r="J38" s="48">
        <f t="shared" si="13"/>
        <v>7</v>
      </c>
      <c r="K38" s="49">
        <f t="shared" si="13"/>
        <v>3</v>
      </c>
      <c r="L38" s="48">
        <f t="shared" si="13"/>
        <v>7</v>
      </c>
      <c r="M38" s="49">
        <f t="shared" si="13"/>
        <v>3</v>
      </c>
      <c r="N38" s="107">
        <f t="shared" ref="N38:O38" si="14">SUMIF($E$5:$E$34,"&lt;&gt;EUR",N5:N34)-100</f>
        <v>7</v>
      </c>
      <c r="O38" s="108">
        <f t="shared" si="14"/>
        <v>0</v>
      </c>
    </row>
    <row r="39" spans="1:23" x14ac:dyDescent="0.25">
      <c r="D39" s="2"/>
      <c r="F39" s="50"/>
      <c r="G39" s="50"/>
    </row>
    <row r="41" spans="1:23" x14ac:dyDescent="0.25">
      <c r="D41" s="2"/>
    </row>
    <row r="42" spans="1:23" x14ac:dyDescent="0.25">
      <c r="D42" s="2"/>
    </row>
    <row r="43" spans="1:23" x14ac:dyDescent="0.25">
      <c r="A43" t="s">
        <v>191</v>
      </c>
      <c r="D43" s="2"/>
    </row>
    <row r="44" spans="1:23" x14ac:dyDescent="0.25">
      <c r="D44" s="2"/>
    </row>
    <row r="45" spans="1:23" x14ac:dyDescent="0.25">
      <c r="D45" s="2"/>
    </row>
  </sheetData>
  <mergeCells count="6">
    <mergeCell ref="F1:M1"/>
    <mergeCell ref="N2:O2"/>
    <mergeCell ref="H2:I2"/>
    <mergeCell ref="F2:G2"/>
    <mergeCell ref="J2:K2"/>
    <mergeCell ref="L2:M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workbookViewId="0">
      <selection activeCell="S18" sqref="S18"/>
    </sheetView>
  </sheetViews>
  <sheetFormatPr defaultRowHeight="15" outlineLevelCol="1" x14ac:dyDescent="0.25"/>
  <cols>
    <col min="1" max="1" width="11.85546875" bestFit="1" customWidth="1"/>
    <col min="2" max="2" width="20.85546875" bestFit="1" customWidth="1"/>
    <col min="3" max="3" width="25.85546875" customWidth="1" outlineLevel="1"/>
    <col min="4" max="4" width="29.42578125" bestFit="1" customWidth="1"/>
    <col min="5" max="5" width="5.85546875" bestFit="1" customWidth="1"/>
    <col min="6" max="14" width="8.85546875" style="52" customWidth="1"/>
  </cols>
  <sheetData>
    <row r="1" spans="1:13" ht="15.75" thickBot="1" x14ac:dyDescent="0.3">
      <c r="A1" s="17"/>
      <c r="B1" s="18"/>
      <c r="C1" s="18"/>
      <c r="D1" s="18"/>
      <c r="E1" s="18"/>
      <c r="F1" s="131" t="s">
        <v>13</v>
      </c>
      <c r="G1" s="132"/>
      <c r="H1" s="132"/>
      <c r="I1" s="132"/>
      <c r="J1" s="132"/>
      <c r="K1" s="132"/>
      <c r="L1" s="132"/>
      <c r="M1" s="133"/>
    </row>
    <row r="2" spans="1:13" x14ac:dyDescent="0.25">
      <c r="A2" s="17"/>
      <c r="B2" s="18"/>
      <c r="C2" s="18"/>
      <c r="D2" s="18"/>
      <c r="E2" s="18"/>
      <c r="F2" s="134" t="s">
        <v>15</v>
      </c>
      <c r="G2" s="135"/>
      <c r="H2" s="134" t="s">
        <v>14</v>
      </c>
      <c r="I2" s="135"/>
      <c r="J2" s="134" t="s">
        <v>16</v>
      </c>
      <c r="K2" s="135"/>
      <c r="L2" s="134" t="s">
        <v>17</v>
      </c>
      <c r="M2" s="135"/>
    </row>
    <row r="3" spans="1:13" ht="15.75" thickBot="1" x14ac:dyDescent="0.3">
      <c r="A3" s="19" t="s">
        <v>37</v>
      </c>
      <c r="B3" s="20" t="s">
        <v>38</v>
      </c>
      <c r="C3" s="20" t="s">
        <v>114</v>
      </c>
      <c r="D3" s="20" t="s">
        <v>18</v>
      </c>
      <c r="E3" s="20" t="s">
        <v>115</v>
      </c>
      <c r="F3" s="53" t="s">
        <v>12</v>
      </c>
      <c r="G3" s="31" t="s">
        <v>11</v>
      </c>
      <c r="H3" s="53" t="s">
        <v>12</v>
      </c>
      <c r="I3" s="31" t="s">
        <v>11</v>
      </c>
      <c r="J3" s="53" t="s">
        <v>12</v>
      </c>
      <c r="K3" s="31" t="s">
        <v>11</v>
      </c>
      <c r="L3" s="53" t="s">
        <v>12</v>
      </c>
      <c r="M3" s="31" t="s">
        <v>11</v>
      </c>
    </row>
    <row r="4" spans="1:13" x14ac:dyDescent="0.25">
      <c r="F4" s="32"/>
      <c r="G4" s="33"/>
      <c r="H4" s="32"/>
      <c r="I4" s="33"/>
      <c r="J4" s="32"/>
      <c r="K4" s="33"/>
      <c r="L4" s="32"/>
      <c r="M4" s="33"/>
    </row>
    <row r="5" spans="1:13" x14ac:dyDescent="0.25">
      <c r="A5" s="5" t="s">
        <v>0</v>
      </c>
      <c r="B5" s="5"/>
      <c r="C5" s="5"/>
      <c r="D5" s="6"/>
      <c r="E5" s="6"/>
      <c r="F5" s="34">
        <f t="shared" ref="F5:M5" si="0">SUM(F6)</f>
        <v>10</v>
      </c>
      <c r="G5" s="35">
        <f t="shared" si="0"/>
        <v>30</v>
      </c>
      <c r="H5" s="34">
        <f t="shared" si="0"/>
        <v>5</v>
      </c>
      <c r="I5" s="35">
        <f t="shared" si="0"/>
        <v>20</v>
      </c>
      <c r="J5" s="34">
        <f t="shared" si="0"/>
        <v>2</v>
      </c>
      <c r="K5" s="35">
        <f t="shared" si="0"/>
        <v>15</v>
      </c>
      <c r="L5" s="34">
        <f t="shared" si="0"/>
        <v>2</v>
      </c>
      <c r="M5" s="35">
        <f t="shared" si="0"/>
        <v>10</v>
      </c>
    </row>
    <row r="6" spans="1:13" x14ac:dyDescent="0.25">
      <c r="A6" s="8"/>
      <c r="B6" s="9" t="s">
        <v>1</v>
      </c>
      <c r="C6" s="9" t="s">
        <v>1</v>
      </c>
      <c r="D6" s="10" t="s">
        <v>1</v>
      </c>
      <c r="E6" s="10" t="s">
        <v>33</v>
      </c>
      <c r="F6" s="36">
        <v>10</v>
      </c>
      <c r="G6" s="37">
        <v>30</v>
      </c>
      <c r="H6" s="36">
        <v>5</v>
      </c>
      <c r="I6" s="37">
        <v>20</v>
      </c>
      <c r="J6" s="36">
        <v>2</v>
      </c>
      <c r="K6" s="37">
        <v>15</v>
      </c>
      <c r="L6" s="36">
        <v>2</v>
      </c>
      <c r="M6" s="37">
        <v>10</v>
      </c>
    </row>
    <row r="7" spans="1:13" x14ac:dyDescent="0.25">
      <c r="F7" s="32"/>
      <c r="G7" s="33"/>
      <c r="H7" s="32"/>
      <c r="I7" s="33"/>
      <c r="J7" s="32"/>
      <c r="K7" s="33"/>
      <c r="L7" s="32"/>
      <c r="M7" s="33"/>
    </row>
    <row r="8" spans="1:13" x14ac:dyDescent="0.25">
      <c r="A8" s="5" t="s">
        <v>2</v>
      </c>
      <c r="B8" s="5"/>
      <c r="C8" s="5"/>
      <c r="D8" s="6"/>
      <c r="E8" s="7"/>
      <c r="F8" s="34">
        <f t="shared" ref="F8:M8" si="1">SUM(F9:F15)</f>
        <v>20</v>
      </c>
      <c r="G8" s="35">
        <f>SUM(G9:G15)</f>
        <v>15</v>
      </c>
      <c r="H8" s="34">
        <f t="shared" si="1"/>
        <v>29</v>
      </c>
      <c r="I8" s="35">
        <f t="shared" si="1"/>
        <v>21</v>
      </c>
      <c r="J8" s="34">
        <f t="shared" si="1"/>
        <v>50</v>
      </c>
      <c r="K8" s="35">
        <f t="shared" si="1"/>
        <v>40</v>
      </c>
      <c r="L8" s="34">
        <f t="shared" si="1"/>
        <v>70</v>
      </c>
      <c r="M8" s="35">
        <f t="shared" si="1"/>
        <v>56</v>
      </c>
    </row>
    <row r="9" spans="1:13" x14ac:dyDescent="0.25">
      <c r="A9" s="2"/>
      <c r="B9" s="2" t="s">
        <v>19</v>
      </c>
      <c r="C9" t="s">
        <v>39</v>
      </c>
      <c r="D9" s="2" t="s">
        <v>65</v>
      </c>
      <c r="E9" s="3" t="s">
        <v>24</v>
      </c>
      <c r="F9" s="38">
        <v>16</v>
      </c>
      <c r="G9" s="39">
        <v>11</v>
      </c>
      <c r="H9" s="38">
        <v>22</v>
      </c>
      <c r="I9" s="39">
        <v>14</v>
      </c>
      <c r="J9" s="38">
        <v>40</v>
      </c>
      <c r="K9" s="39">
        <v>30</v>
      </c>
      <c r="L9" s="38">
        <v>57</v>
      </c>
      <c r="M9" s="39">
        <v>43</v>
      </c>
    </row>
    <row r="10" spans="1:13" x14ac:dyDescent="0.25">
      <c r="A10" s="2"/>
      <c r="B10" s="2" t="s">
        <v>3</v>
      </c>
      <c r="C10" t="s">
        <v>62</v>
      </c>
      <c r="D10" s="2" t="s">
        <v>66</v>
      </c>
      <c r="E10" s="3" t="s">
        <v>24</v>
      </c>
      <c r="F10" s="38">
        <v>0</v>
      </c>
      <c r="G10" s="39">
        <v>2</v>
      </c>
      <c r="H10" s="38">
        <v>0</v>
      </c>
      <c r="I10" s="39">
        <v>2</v>
      </c>
      <c r="J10" s="38">
        <v>0</v>
      </c>
      <c r="K10" s="39">
        <v>2</v>
      </c>
      <c r="L10" s="38">
        <v>0</v>
      </c>
      <c r="M10" s="39">
        <v>2</v>
      </c>
    </row>
    <row r="11" spans="1:13" x14ac:dyDescent="0.25">
      <c r="A11" s="2"/>
      <c r="B11" s="2" t="s">
        <v>4</v>
      </c>
      <c r="C11" t="s">
        <v>41</v>
      </c>
      <c r="D11" s="2" t="s">
        <v>67</v>
      </c>
      <c r="E11" s="3" t="s">
        <v>24</v>
      </c>
      <c r="F11" s="38">
        <v>2</v>
      </c>
      <c r="G11" s="39">
        <v>0</v>
      </c>
      <c r="H11" s="38">
        <v>2</v>
      </c>
      <c r="I11" s="39">
        <v>0</v>
      </c>
      <c r="J11" s="38">
        <v>4</v>
      </c>
      <c r="K11" s="39">
        <v>3</v>
      </c>
      <c r="L11" s="38">
        <v>5</v>
      </c>
      <c r="M11" s="39">
        <v>4</v>
      </c>
    </row>
    <row r="12" spans="1:13" x14ac:dyDescent="0.25">
      <c r="A12" s="2"/>
      <c r="B12" s="2" t="s">
        <v>56</v>
      </c>
      <c r="C12" t="s">
        <v>57</v>
      </c>
      <c r="D12" s="2" t="s">
        <v>68</v>
      </c>
      <c r="E12" s="3" t="s">
        <v>34</v>
      </c>
      <c r="F12" s="38">
        <v>2</v>
      </c>
      <c r="G12" s="39">
        <v>2</v>
      </c>
      <c r="H12" s="38">
        <v>3</v>
      </c>
      <c r="I12" s="39">
        <v>3</v>
      </c>
      <c r="J12" s="38">
        <v>4</v>
      </c>
      <c r="K12" s="39">
        <v>3</v>
      </c>
      <c r="L12" s="38">
        <v>5</v>
      </c>
      <c r="M12" s="39">
        <v>4</v>
      </c>
    </row>
    <row r="13" spans="1:13" x14ac:dyDescent="0.25">
      <c r="A13" s="2"/>
      <c r="B13" s="2" t="s">
        <v>5</v>
      </c>
      <c r="C13" t="s">
        <v>58</v>
      </c>
      <c r="D13" s="2" t="s">
        <v>69</v>
      </c>
      <c r="E13" s="3" t="s">
        <v>24</v>
      </c>
      <c r="F13" s="38">
        <v>0</v>
      </c>
      <c r="G13" s="39">
        <v>0</v>
      </c>
      <c r="H13" s="38">
        <v>0</v>
      </c>
      <c r="I13" s="39">
        <v>0</v>
      </c>
      <c r="J13" s="38">
        <v>0</v>
      </c>
      <c r="K13" s="39">
        <v>0</v>
      </c>
      <c r="L13" s="38">
        <v>0</v>
      </c>
      <c r="M13" s="39">
        <v>0</v>
      </c>
    </row>
    <row r="14" spans="1:13" x14ac:dyDescent="0.25">
      <c r="A14" s="2"/>
      <c r="B14" s="2" t="s">
        <v>20</v>
      </c>
      <c r="C14" t="s">
        <v>42</v>
      </c>
      <c r="D14" s="2" t="s">
        <v>70</v>
      </c>
      <c r="E14" s="3" t="s">
        <v>24</v>
      </c>
      <c r="F14" s="38">
        <v>0</v>
      </c>
      <c r="G14" s="39">
        <v>0</v>
      </c>
      <c r="H14" s="38">
        <v>2</v>
      </c>
      <c r="I14" s="39">
        <v>2</v>
      </c>
      <c r="J14" s="38">
        <v>2</v>
      </c>
      <c r="K14" s="39">
        <v>2</v>
      </c>
      <c r="L14" s="38">
        <v>3</v>
      </c>
      <c r="M14" s="39">
        <v>3</v>
      </c>
    </row>
    <row r="15" spans="1:13" x14ac:dyDescent="0.25">
      <c r="A15" s="2"/>
      <c r="B15" s="2" t="s">
        <v>21</v>
      </c>
      <c r="C15" t="s">
        <v>21</v>
      </c>
      <c r="D15" s="2" t="s">
        <v>21</v>
      </c>
      <c r="E15" s="3" t="s">
        <v>33</v>
      </c>
      <c r="F15" s="40"/>
      <c r="G15" s="41"/>
      <c r="H15" s="40"/>
      <c r="I15" s="41"/>
      <c r="J15" s="40"/>
      <c r="K15" s="41"/>
      <c r="L15" s="40"/>
      <c r="M15" s="41"/>
    </row>
    <row r="16" spans="1:13" x14ac:dyDescent="0.25">
      <c r="A16" s="2"/>
      <c r="B16" s="2"/>
      <c r="D16" s="2"/>
      <c r="F16" s="32"/>
      <c r="G16" s="33"/>
      <c r="H16" s="32"/>
      <c r="I16" s="33"/>
      <c r="J16" s="32"/>
      <c r="K16" s="33"/>
      <c r="L16" s="32"/>
      <c r="M16" s="33"/>
    </row>
    <row r="17" spans="1:13" x14ac:dyDescent="0.25">
      <c r="A17" s="5" t="s">
        <v>6</v>
      </c>
      <c r="B17" s="5"/>
      <c r="C17" s="5"/>
      <c r="D17" s="5"/>
      <c r="E17" s="6"/>
      <c r="F17" s="34">
        <f t="shared" ref="F17:M17" si="2">SUM(F18:F25)</f>
        <v>60</v>
      </c>
      <c r="G17" s="35">
        <f t="shared" si="2"/>
        <v>42</v>
      </c>
      <c r="H17" s="34">
        <f t="shared" si="2"/>
        <v>45</v>
      </c>
      <c r="I17" s="35">
        <f t="shared" si="2"/>
        <v>38</v>
      </c>
      <c r="J17" s="34">
        <f t="shared" si="2"/>
        <v>30</v>
      </c>
      <c r="K17" s="35">
        <f t="shared" si="2"/>
        <v>21</v>
      </c>
      <c r="L17" s="34">
        <f t="shared" si="2"/>
        <v>12</v>
      </c>
      <c r="M17" s="35">
        <f t="shared" si="2"/>
        <v>12</v>
      </c>
    </row>
    <row r="18" spans="1:13" x14ac:dyDescent="0.25">
      <c r="A18" s="11"/>
      <c r="B18" s="11" t="s">
        <v>22</v>
      </c>
      <c r="C18" s="12" t="s">
        <v>43</v>
      </c>
      <c r="D18" s="11" t="s">
        <v>71</v>
      </c>
      <c r="E18" s="13" t="s">
        <v>24</v>
      </c>
      <c r="F18" s="42">
        <v>48</v>
      </c>
      <c r="G18" s="43">
        <v>32</v>
      </c>
      <c r="H18" s="42">
        <v>31</v>
      </c>
      <c r="I18" s="43">
        <v>25</v>
      </c>
      <c r="J18" s="42">
        <v>25</v>
      </c>
      <c r="K18" s="43">
        <v>16</v>
      </c>
      <c r="L18" s="42">
        <v>8</v>
      </c>
      <c r="M18" s="43">
        <v>8</v>
      </c>
    </row>
    <row r="19" spans="1:13" x14ac:dyDescent="0.25">
      <c r="A19" s="2"/>
      <c r="B19" s="2" t="s">
        <v>8</v>
      </c>
      <c r="C19" t="s">
        <v>44</v>
      </c>
      <c r="D19" s="2" t="s">
        <v>72</v>
      </c>
      <c r="E19" s="14" t="s">
        <v>24</v>
      </c>
      <c r="F19" s="38">
        <v>3</v>
      </c>
      <c r="G19" s="39">
        <v>0</v>
      </c>
      <c r="H19" s="38">
        <v>0</v>
      </c>
      <c r="I19" s="39">
        <v>0</v>
      </c>
      <c r="J19" s="38">
        <v>0</v>
      </c>
      <c r="K19" s="39">
        <v>0</v>
      </c>
      <c r="L19" s="38">
        <v>0</v>
      </c>
      <c r="M19" s="39">
        <v>0</v>
      </c>
    </row>
    <row r="20" spans="1:13" x14ac:dyDescent="0.25">
      <c r="A20" s="2"/>
      <c r="B20" s="2" t="s">
        <v>8</v>
      </c>
      <c r="C20" t="s">
        <v>45</v>
      </c>
      <c r="D20" s="2" t="s">
        <v>73</v>
      </c>
      <c r="E20" s="14" t="s">
        <v>24</v>
      </c>
      <c r="F20" s="38">
        <v>3</v>
      </c>
      <c r="G20" s="39">
        <v>0</v>
      </c>
      <c r="H20" s="38">
        <v>3</v>
      </c>
      <c r="I20" s="39"/>
      <c r="J20" s="38"/>
      <c r="K20" s="39">
        <v>0</v>
      </c>
      <c r="L20" s="38"/>
      <c r="M20" s="39">
        <v>0</v>
      </c>
    </row>
    <row r="21" spans="1:13" x14ac:dyDescent="0.25">
      <c r="A21" s="2"/>
      <c r="B21" s="2" t="s">
        <v>7</v>
      </c>
      <c r="C21" t="s">
        <v>40</v>
      </c>
      <c r="D21" s="2" t="s">
        <v>74</v>
      </c>
      <c r="E21" s="14" t="s">
        <v>24</v>
      </c>
      <c r="F21" s="38">
        <v>3</v>
      </c>
      <c r="G21" s="39">
        <v>5</v>
      </c>
      <c r="H21" s="38">
        <v>4</v>
      </c>
      <c r="I21" s="39">
        <v>5</v>
      </c>
      <c r="J21" s="38">
        <v>3</v>
      </c>
      <c r="K21" s="39">
        <v>3</v>
      </c>
      <c r="L21" s="38">
        <v>2</v>
      </c>
      <c r="M21" s="39">
        <v>2</v>
      </c>
    </row>
    <row r="22" spans="1:13" x14ac:dyDescent="0.25">
      <c r="A22" s="2"/>
      <c r="B22" s="2" t="s">
        <v>8</v>
      </c>
      <c r="C22" t="s">
        <v>59</v>
      </c>
      <c r="D22" s="2" t="s">
        <v>75</v>
      </c>
      <c r="E22" s="14" t="s">
        <v>24</v>
      </c>
      <c r="F22" s="38"/>
      <c r="G22" s="39"/>
      <c r="H22" s="38"/>
      <c r="I22" s="39"/>
      <c r="J22" s="38"/>
      <c r="K22" s="39"/>
      <c r="L22" s="38"/>
      <c r="M22" s="39"/>
    </row>
    <row r="23" spans="1:13" x14ac:dyDescent="0.25">
      <c r="A23" s="2"/>
      <c r="B23" s="2" t="s">
        <v>25</v>
      </c>
      <c r="C23" t="s">
        <v>63</v>
      </c>
      <c r="D23" s="2" t="s">
        <v>84</v>
      </c>
      <c r="E23" s="14" t="s">
        <v>33</v>
      </c>
      <c r="F23" s="38">
        <v>3</v>
      </c>
      <c r="G23" s="39">
        <v>5</v>
      </c>
      <c r="H23" s="38">
        <v>4</v>
      </c>
      <c r="I23" s="39">
        <v>5</v>
      </c>
      <c r="J23" s="38"/>
      <c r="K23" s="39"/>
      <c r="L23" s="38"/>
      <c r="M23" s="39"/>
    </row>
    <row r="24" spans="1:13" x14ac:dyDescent="0.25">
      <c r="A24" s="2"/>
      <c r="B24" s="2" t="s">
        <v>55</v>
      </c>
      <c r="C24" t="s">
        <v>64</v>
      </c>
      <c r="D24" s="2" t="s">
        <v>77</v>
      </c>
      <c r="E24" s="14" t="s">
        <v>24</v>
      </c>
      <c r="F24" s="38"/>
      <c r="G24" s="39"/>
      <c r="H24" s="38">
        <v>3</v>
      </c>
      <c r="I24" s="39">
        <v>3</v>
      </c>
      <c r="J24" s="38">
        <v>2</v>
      </c>
      <c r="K24" s="39">
        <v>2</v>
      </c>
      <c r="L24" s="38">
        <v>2</v>
      </c>
      <c r="M24" s="39">
        <v>2</v>
      </c>
    </row>
    <row r="25" spans="1:13" x14ac:dyDescent="0.25">
      <c r="A25" s="5"/>
      <c r="B25" s="5" t="s">
        <v>26</v>
      </c>
      <c r="C25" s="6" t="s">
        <v>26</v>
      </c>
      <c r="D25" s="5" t="s">
        <v>26</v>
      </c>
      <c r="E25" s="7" t="s">
        <v>24</v>
      </c>
      <c r="F25" s="40">
        <v>0</v>
      </c>
      <c r="G25" s="41">
        <v>0</v>
      </c>
      <c r="H25" s="40">
        <v>0</v>
      </c>
      <c r="I25" s="41"/>
      <c r="J25" s="40">
        <v>0</v>
      </c>
      <c r="K25" s="41"/>
      <c r="L25" s="40">
        <v>0</v>
      </c>
      <c r="M25" s="41"/>
    </row>
    <row r="26" spans="1:13" x14ac:dyDescent="0.25">
      <c r="A26" s="2"/>
      <c r="B26" s="2"/>
      <c r="D26" s="2"/>
      <c r="F26" s="32"/>
      <c r="G26" s="33"/>
      <c r="H26" s="32"/>
      <c r="I26" s="33"/>
      <c r="J26" s="32"/>
      <c r="K26" s="33"/>
      <c r="L26" s="32"/>
      <c r="M26" s="33"/>
    </row>
    <row r="27" spans="1:13" x14ac:dyDescent="0.25">
      <c r="A27" s="5" t="s">
        <v>9</v>
      </c>
      <c r="B27" s="5"/>
      <c r="C27" s="5"/>
      <c r="D27" s="5"/>
      <c r="E27" s="6"/>
      <c r="F27" s="34">
        <f t="shared" ref="F27:M27" si="3">SUM(F28:F35)</f>
        <v>10</v>
      </c>
      <c r="G27" s="35">
        <f t="shared" si="3"/>
        <v>13</v>
      </c>
      <c r="H27" s="34">
        <f t="shared" si="3"/>
        <v>20</v>
      </c>
      <c r="I27" s="35">
        <f t="shared" si="3"/>
        <v>21</v>
      </c>
      <c r="J27" s="34">
        <f t="shared" si="3"/>
        <v>17</v>
      </c>
      <c r="K27" s="35">
        <f t="shared" si="3"/>
        <v>23</v>
      </c>
      <c r="L27" s="34">
        <f t="shared" si="3"/>
        <v>15</v>
      </c>
      <c r="M27" s="35">
        <f t="shared" si="3"/>
        <v>21</v>
      </c>
    </row>
    <row r="28" spans="1:13" x14ac:dyDescent="0.25">
      <c r="A28" s="2"/>
      <c r="B28" s="2" t="s">
        <v>27</v>
      </c>
      <c r="C28" t="s">
        <v>113</v>
      </c>
      <c r="D28" s="2" t="s">
        <v>78</v>
      </c>
      <c r="E28" s="14" t="s">
        <v>24</v>
      </c>
      <c r="F28" s="38"/>
      <c r="G28" s="39"/>
      <c r="H28" s="38">
        <v>3</v>
      </c>
      <c r="I28" s="39">
        <v>3</v>
      </c>
      <c r="J28" s="38">
        <v>3</v>
      </c>
      <c r="K28" s="39">
        <v>3</v>
      </c>
      <c r="L28" s="38">
        <v>3</v>
      </c>
      <c r="M28" s="39">
        <v>3</v>
      </c>
    </row>
    <row r="29" spans="1:13" x14ac:dyDescent="0.25">
      <c r="A29" s="2"/>
      <c r="B29" s="2" t="s">
        <v>27</v>
      </c>
      <c r="C29" t="s">
        <v>46</v>
      </c>
      <c r="D29" s="4" t="s">
        <v>79</v>
      </c>
      <c r="E29" s="14" t="s">
        <v>24</v>
      </c>
      <c r="F29" s="38"/>
      <c r="G29" s="39"/>
      <c r="H29" s="38"/>
      <c r="I29" s="39"/>
      <c r="J29" s="38"/>
      <c r="K29" s="39"/>
      <c r="L29" s="38"/>
      <c r="M29" s="39"/>
    </row>
    <row r="30" spans="1:13" x14ac:dyDescent="0.25">
      <c r="A30" s="2"/>
      <c r="B30" s="2" t="s">
        <v>27</v>
      </c>
      <c r="C30" t="s">
        <v>161</v>
      </c>
      <c r="D30" s="4" t="s">
        <v>116</v>
      </c>
      <c r="E30" s="14" t="s">
        <v>24</v>
      </c>
      <c r="F30" s="38">
        <v>2</v>
      </c>
      <c r="G30" s="39">
        <v>4</v>
      </c>
      <c r="H30" s="38">
        <v>2</v>
      </c>
      <c r="I30" s="39">
        <v>3</v>
      </c>
      <c r="J30" s="38">
        <v>2</v>
      </c>
      <c r="K30" s="39">
        <v>3</v>
      </c>
      <c r="L30" s="38">
        <v>3</v>
      </c>
      <c r="M30" s="39">
        <v>3</v>
      </c>
    </row>
    <row r="31" spans="1:13" x14ac:dyDescent="0.25">
      <c r="A31" s="2"/>
      <c r="B31" s="2" t="s">
        <v>23</v>
      </c>
      <c r="C31" s="1" t="s">
        <v>47</v>
      </c>
      <c r="D31" s="4" t="s">
        <v>80</v>
      </c>
      <c r="E31" s="14" t="s">
        <v>24</v>
      </c>
      <c r="F31" s="38">
        <v>3</v>
      </c>
      <c r="G31" s="39">
        <v>4</v>
      </c>
      <c r="H31" s="38">
        <v>3</v>
      </c>
      <c r="I31" s="39">
        <v>3</v>
      </c>
      <c r="J31" s="38">
        <v>3</v>
      </c>
      <c r="K31" s="39">
        <v>3</v>
      </c>
      <c r="L31" s="38"/>
      <c r="M31" s="39"/>
    </row>
    <row r="32" spans="1:13" x14ac:dyDescent="0.25">
      <c r="A32" s="2"/>
      <c r="B32" s="2" t="s">
        <v>10</v>
      </c>
      <c r="C32" s="1" t="s">
        <v>48</v>
      </c>
      <c r="D32" s="4" t="s">
        <v>81</v>
      </c>
      <c r="E32" s="14" t="s">
        <v>24</v>
      </c>
      <c r="F32" s="38"/>
      <c r="G32" s="39"/>
      <c r="H32" s="38">
        <v>3</v>
      </c>
      <c r="I32" s="39">
        <v>3</v>
      </c>
      <c r="J32" s="38">
        <v>4</v>
      </c>
      <c r="K32" s="39">
        <v>4</v>
      </c>
      <c r="L32" s="38">
        <v>4</v>
      </c>
      <c r="M32" s="39">
        <v>5</v>
      </c>
    </row>
    <row r="33" spans="1:13" x14ac:dyDescent="0.25">
      <c r="A33" s="2"/>
      <c r="B33" s="2" t="s">
        <v>10</v>
      </c>
      <c r="C33" s="1" t="s">
        <v>49</v>
      </c>
      <c r="D33" s="4" t="s">
        <v>82</v>
      </c>
      <c r="E33" s="14" t="s">
        <v>24</v>
      </c>
      <c r="F33" s="38"/>
      <c r="G33" s="39"/>
      <c r="H33" s="38">
        <v>4</v>
      </c>
      <c r="I33" s="39">
        <v>4</v>
      </c>
      <c r="J33" s="38">
        <v>5</v>
      </c>
      <c r="K33" s="39">
        <v>5</v>
      </c>
      <c r="L33" s="38">
        <v>5</v>
      </c>
      <c r="M33" s="39">
        <v>5</v>
      </c>
    </row>
    <row r="34" spans="1:13" x14ac:dyDescent="0.25">
      <c r="A34" s="2"/>
      <c r="B34" s="2" t="s">
        <v>28</v>
      </c>
      <c r="C34" s="1" t="s">
        <v>50</v>
      </c>
      <c r="D34" s="2" t="s">
        <v>165</v>
      </c>
      <c r="E34" s="14" t="s">
        <v>33</v>
      </c>
      <c r="F34" s="38">
        <v>5</v>
      </c>
      <c r="G34" s="39">
        <v>5</v>
      </c>
      <c r="H34" s="38">
        <v>5</v>
      </c>
      <c r="I34" s="39">
        <v>5</v>
      </c>
      <c r="J34" s="38"/>
      <c r="K34" s="39">
        <v>5</v>
      </c>
      <c r="L34" s="38"/>
      <c r="M34" s="39">
        <v>5</v>
      </c>
    </row>
    <row r="35" spans="1:13" x14ac:dyDescent="0.25">
      <c r="A35" s="5"/>
      <c r="B35" s="15" t="s">
        <v>29</v>
      </c>
      <c r="C35" s="16" t="s">
        <v>29</v>
      </c>
      <c r="D35" s="7" t="s">
        <v>29</v>
      </c>
      <c r="E35" s="7" t="s">
        <v>33</v>
      </c>
      <c r="F35" s="40">
        <v>0</v>
      </c>
      <c r="G35" s="41"/>
      <c r="H35" s="40">
        <v>0</v>
      </c>
      <c r="I35" s="41"/>
      <c r="J35" s="40"/>
      <c r="K35" s="41"/>
      <c r="L35" s="40">
        <v>0</v>
      </c>
      <c r="M35" s="41"/>
    </row>
    <row r="36" spans="1:13" x14ac:dyDescent="0.25">
      <c r="A36" s="2"/>
      <c r="B36" s="2"/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A37" s="2" t="s">
        <v>31</v>
      </c>
      <c r="B37" s="2"/>
      <c r="D37" s="2"/>
      <c r="F37" s="32"/>
      <c r="G37" s="33"/>
      <c r="H37" s="32"/>
      <c r="I37" s="33"/>
      <c r="J37" s="32"/>
      <c r="K37" s="33"/>
      <c r="L37" s="32"/>
      <c r="M37" s="33"/>
    </row>
    <row r="38" spans="1:13" x14ac:dyDescent="0.25">
      <c r="A38" s="8"/>
      <c r="B38" s="9" t="s">
        <v>91</v>
      </c>
      <c r="C38" s="21" t="s">
        <v>110</v>
      </c>
      <c r="D38" s="9" t="s">
        <v>108</v>
      </c>
      <c r="E38" s="10" t="s">
        <v>24</v>
      </c>
      <c r="F38" s="56"/>
      <c r="G38" s="37"/>
      <c r="H38" s="56"/>
      <c r="I38" s="37"/>
      <c r="J38" s="56"/>
      <c r="K38" s="37"/>
      <c r="L38" s="56"/>
      <c r="M38" s="37"/>
    </row>
    <row r="39" spans="1:13" ht="15.75" thickBot="1" x14ac:dyDescent="0.3">
      <c r="B39" s="2"/>
      <c r="C39" s="1"/>
      <c r="D39" s="2"/>
      <c r="E39" s="3"/>
      <c r="F39" s="55"/>
      <c r="G39" s="33"/>
      <c r="H39" s="55"/>
      <c r="I39" s="33"/>
      <c r="J39" s="55"/>
      <c r="K39" s="33"/>
      <c r="L39" s="55"/>
      <c r="M39" s="33"/>
    </row>
    <row r="40" spans="1:13" x14ac:dyDescent="0.25">
      <c r="D40" s="2"/>
      <c r="F40" s="57"/>
      <c r="G40" s="45"/>
      <c r="H40" s="57"/>
      <c r="I40" s="45"/>
      <c r="J40" s="57"/>
      <c r="K40" s="45"/>
      <c r="L40" s="57"/>
      <c r="M40" s="45"/>
    </row>
    <row r="41" spans="1:13" x14ac:dyDescent="0.25">
      <c r="D41" s="2" t="s">
        <v>30</v>
      </c>
      <c r="F41" s="58">
        <f t="shared" ref="F41:M41" si="4">+F27+F17+F8+F5</f>
        <v>100</v>
      </c>
      <c r="G41" s="47">
        <f t="shared" si="4"/>
        <v>100</v>
      </c>
      <c r="H41" s="58">
        <f t="shared" si="4"/>
        <v>99</v>
      </c>
      <c r="I41" s="47">
        <f t="shared" si="4"/>
        <v>100</v>
      </c>
      <c r="J41" s="58">
        <f t="shared" si="4"/>
        <v>99</v>
      </c>
      <c r="K41" s="47">
        <f t="shared" si="4"/>
        <v>99</v>
      </c>
      <c r="L41" s="58">
        <f t="shared" si="4"/>
        <v>99</v>
      </c>
      <c r="M41" s="47">
        <f t="shared" si="4"/>
        <v>99</v>
      </c>
    </row>
    <row r="42" spans="1:13" ht="15.75" thickBot="1" x14ac:dyDescent="0.3">
      <c r="D42" s="2" t="s">
        <v>32</v>
      </c>
      <c r="F42" s="59">
        <f t="shared" ref="F42:M42" si="5">SUMIF($E$5:$E$38,"&lt;&gt;CHF",F5:F38)-100</f>
        <v>82</v>
      </c>
      <c r="G42" s="49">
        <f t="shared" si="5"/>
        <v>60</v>
      </c>
      <c r="H42" s="59">
        <f t="shared" si="5"/>
        <v>84</v>
      </c>
      <c r="I42" s="49">
        <f t="shared" si="5"/>
        <v>70</v>
      </c>
      <c r="J42" s="59">
        <f t="shared" si="5"/>
        <v>96</v>
      </c>
      <c r="K42" s="49">
        <f t="shared" si="5"/>
        <v>78</v>
      </c>
      <c r="L42" s="59">
        <f t="shared" si="5"/>
        <v>96</v>
      </c>
      <c r="M42" s="49">
        <f t="shared" si="5"/>
        <v>83</v>
      </c>
    </row>
    <row r="43" spans="1:13" x14ac:dyDescent="0.25">
      <c r="D43" s="2"/>
      <c r="F43" s="50"/>
      <c r="G43" s="50"/>
    </row>
    <row r="47" spans="1:13" x14ac:dyDescent="0.25">
      <c r="F47" s="52">
        <v>-81</v>
      </c>
      <c r="G47" s="52">
        <v>-72</v>
      </c>
      <c r="H47" s="52">
        <v>-85</v>
      </c>
      <c r="I47" s="52">
        <v>-74</v>
      </c>
      <c r="J47" s="52">
        <v>-88</v>
      </c>
      <c r="K47" s="52">
        <v>-75</v>
      </c>
      <c r="L47" s="52">
        <v>-88</v>
      </c>
      <c r="M47" s="52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workbookViewId="0">
      <selection activeCell="D34" sqref="D34"/>
    </sheetView>
  </sheetViews>
  <sheetFormatPr defaultRowHeight="15" outlineLevelCol="1" x14ac:dyDescent="0.25"/>
  <cols>
    <col min="1" max="1" width="11.85546875" bestFit="1" customWidth="1"/>
    <col min="2" max="2" width="20.85546875" bestFit="1" customWidth="1"/>
    <col min="3" max="3" width="28" customWidth="1" outlineLevel="1"/>
    <col min="4" max="4" width="29.42578125" bestFit="1" customWidth="1"/>
    <col min="5" max="5" width="5.85546875" bestFit="1" customWidth="1"/>
    <col min="6" max="7" width="10.5703125" style="52" customWidth="1"/>
    <col min="8" max="13" width="9.140625" style="52"/>
  </cols>
  <sheetData>
    <row r="1" spans="1:13" ht="15.75" thickBot="1" x14ac:dyDescent="0.3">
      <c r="A1" s="17"/>
      <c r="B1" s="18"/>
      <c r="C1" s="18"/>
      <c r="D1" s="18"/>
      <c r="E1" s="18"/>
      <c r="F1" s="131" t="s">
        <v>13</v>
      </c>
      <c r="G1" s="132"/>
      <c r="H1" s="132"/>
      <c r="I1" s="132"/>
      <c r="J1" s="132"/>
      <c r="K1" s="132"/>
      <c r="L1" s="132"/>
      <c r="M1" s="133"/>
    </row>
    <row r="2" spans="1:13" x14ac:dyDescent="0.25">
      <c r="A2" s="17"/>
      <c r="B2" s="18"/>
      <c r="C2" s="18"/>
      <c r="D2" s="18"/>
      <c r="E2" s="18"/>
      <c r="F2" s="136" t="s">
        <v>15</v>
      </c>
      <c r="G2" s="135"/>
      <c r="H2" s="134" t="s">
        <v>14</v>
      </c>
      <c r="I2" s="135"/>
      <c r="J2" s="134" t="s">
        <v>16</v>
      </c>
      <c r="K2" s="135"/>
      <c r="L2" s="134" t="s">
        <v>17</v>
      </c>
      <c r="M2" s="137"/>
    </row>
    <row r="3" spans="1:13" ht="15.75" thickBot="1" x14ac:dyDescent="0.3">
      <c r="A3" s="19" t="s">
        <v>37</v>
      </c>
      <c r="B3" s="20" t="s">
        <v>38</v>
      </c>
      <c r="C3" s="20" t="s">
        <v>114</v>
      </c>
      <c r="D3" s="20" t="s">
        <v>18</v>
      </c>
      <c r="E3" s="20" t="s">
        <v>115</v>
      </c>
      <c r="F3" s="60" t="s">
        <v>12</v>
      </c>
      <c r="G3" s="54" t="s">
        <v>11</v>
      </c>
      <c r="H3" s="53" t="s">
        <v>12</v>
      </c>
      <c r="I3" s="54" t="s">
        <v>11</v>
      </c>
      <c r="J3" s="53" t="s">
        <v>12</v>
      </c>
      <c r="K3" s="54" t="s">
        <v>11</v>
      </c>
      <c r="L3" s="53" t="s">
        <v>12</v>
      </c>
      <c r="M3" s="61" t="s">
        <v>11</v>
      </c>
    </row>
    <row r="4" spans="1:13" x14ac:dyDescent="0.25">
      <c r="F4" s="32"/>
      <c r="G4" s="33"/>
      <c r="H4" s="32"/>
      <c r="I4" s="33"/>
      <c r="J4" s="32"/>
      <c r="K4" s="33"/>
      <c r="L4" s="32"/>
      <c r="M4" s="33"/>
    </row>
    <row r="5" spans="1:13" x14ac:dyDescent="0.25">
      <c r="A5" s="5" t="s">
        <v>0</v>
      </c>
      <c r="B5" s="5"/>
      <c r="C5" s="5"/>
      <c r="D5" s="6"/>
      <c r="E5" s="6"/>
      <c r="F5" s="34">
        <f t="shared" ref="F5:M5" si="0">SUM(F6)</f>
        <v>10</v>
      </c>
      <c r="G5" s="35">
        <f t="shared" si="0"/>
        <v>30</v>
      </c>
      <c r="H5" s="34">
        <f t="shared" si="0"/>
        <v>5</v>
      </c>
      <c r="I5" s="35">
        <f t="shared" si="0"/>
        <v>20</v>
      </c>
      <c r="J5" s="34">
        <f t="shared" si="0"/>
        <v>2</v>
      </c>
      <c r="K5" s="35">
        <f t="shared" si="0"/>
        <v>15</v>
      </c>
      <c r="L5" s="34">
        <f t="shared" si="0"/>
        <v>2</v>
      </c>
      <c r="M5" s="35">
        <f t="shared" si="0"/>
        <v>10</v>
      </c>
    </row>
    <row r="6" spans="1:13" x14ac:dyDescent="0.25">
      <c r="A6" s="8"/>
      <c r="B6" s="9" t="s">
        <v>1</v>
      </c>
      <c r="C6" s="9" t="s">
        <v>1</v>
      </c>
      <c r="D6" s="10" t="s">
        <v>1</v>
      </c>
      <c r="E6" s="10" t="s">
        <v>34</v>
      </c>
      <c r="F6" s="36">
        <v>10</v>
      </c>
      <c r="G6" s="37">
        <v>30</v>
      </c>
      <c r="H6" s="36">
        <v>5</v>
      </c>
      <c r="I6" s="37">
        <v>20</v>
      </c>
      <c r="J6" s="36">
        <v>2</v>
      </c>
      <c r="K6" s="37">
        <v>15</v>
      </c>
      <c r="L6" s="36">
        <v>2</v>
      </c>
      <c r="M6" s="37">
        <v>10</v>
      </c>
    </row>
    <row r="7" spans="1:13" x14ac:dyDescent="0.25">
      <c r="F7" s="32"/>
      <c r="G7" s="33"/>
      <c r="H7" s="32"/>
      <c r="I7" s="33"/>
      <c r="J7" s="32"/>
      <c r="K7" s="33"/>
      <c r="L7" s="32"/>
      <c r="M7" s="33"/>
    </row>
    <row r="8" spans="1:13" x14ac:dyDescent="0.25">
      <c r="A8" s="5" t="s">
        <v>2</v>
      </c>
      <c r="B8" s="5"/>
      <c r="C8" s="5"/>
      <c r="D8" s="6"/>
      <c r="E8" s="7"/>
      <c r="F8" s="34">
        <f t="shared" ref="F8:M8" si="1">SUM(F9:F15)</f>
        <v>20</v>
      </c>
      <c r="G8" s="35">
        <f>SUM(G9:G15)</f>
        <v>15</v>
      </c>
      <c r="H8" s="34">
        <f t="shared" si="1"/>
        <v>29</v>
      </c>
      <c r="I8" s="35">
        <f t="shared" si="1"/>
        <v>21</v>
      </c>
      <c r="J8" s="34">
        <f t="shared" si="1"/>
        <v>50</v>
      </c>
      <c r="K8" s="35">
        <f t="shared" si="1"/>
        <v>40</v>
      </c>
      <c r="L8" s="34">
        <f t="shared" si="1"/>
        <v>70</v>
      </c>
      <c r="M8" s="35">
        <f t="shared" si="1"/>
        <v>56</v>
      </c>
    </row>
    <row r="9" spans="1:13" x14ac:dyDescent="0.25">
      <c r="A9" s="2"/>
      <c r="B9" s="2" t="s">
        <v>19</v>
      </c>
      <c r="C9" t="s">
        <v>39</v>
      </c>
      <c r="D9" s="2" t="s">
        <v>65</v>
      </c>
      <c r="E9" s="3" t="s">
        <v>24</v>
      </c>
      <c r="F9" s="38">
        <v>16</v>
      </c>
      <c r="G9" s="39">
        <v>11</v>
      </c>
      <c r="H9" s="38">
        <v>22</v>
      </c>
      <c r="I9" s="39">
        <v>14</v>
      </c>
      <c r="J9" s="38">
        <v>40</v>
      </c>
      <c r="K9" s="39">
        <v>30</v>
      </c>
      <c r="L9" s="38">
        <v>57</v>
      </c>
      <c r="M9" s="39">
        <v>43</v>
      </c>
    </row>
    <row r="10" spans="1:13" x14ac:dyDescent="0.25">
      <c r="A10" s="2"/>
      <c r="B10" s="2" t="s">
        <v>3</v>
      </c>
      <c r="C10" t="s">
        <v>62</v>
      </c>
      <c r="D10" s="2" t="s">
        <v>66</v>
      </c>
      <c r="E10" s="3" t="s">
        <v>24</v>
      </c>
      <c r="F10" s="38">
        <v>0</v>
      </c>
      <c r="G10" s="39">
        <v>2</v>
      </c>
      <c r="H10" s="38">
        <v>0</v>
      </c>
      <c r="I10" s="39">
        <v>2</v>
      </c>
      <c r="J10" s="38">
        <v>0</v>
      </c>
      <c r="K10" s="39">
        <v>2</v>
      </c>
      <c r="L10" s="38">
        <v>0</v>
      </c>
      <c r="M10" s="39">
        <v>2</v>
      </c>
    </row>
    <row r="11" spans="1:13" x14ac:dyDescent="0.25">
      <c r="A11" s="2"/>
      <c r="B11" s="2" t="s">
        <v>4</v>
      </c>
      <c r="C11" t="s">
        <v>41</v>
      </c>
      <c r="D11" s="2" t="s">
        <v>67</v>
      </c>
      <c r="E11" s="3" t="s">
        <v>24</v>
      </c>
      <c r="F11" s="38">
        <v>2</v>
      </c>
      <c r="G11" s="39">
        <v>0</v>
      </c>
      <c r="H11" s="38">
        <v>2</v>
      </c>
      <c r="I11" s="39">
        <v>0</v>
      </c>
      <c r="J11" s="38">
        <v>4</v>
      </c>
      <c r="K11" s="39">
        <v>3</v>
      </c>
      <c r="L11" s="38">
        <v>5</v>
      </c>
      <c r="M11" s="39">
        <v>4</v>
      </c>
    </row>
    <row r="12" spans="1:13" x14ac:dyDescent="0.25">
      <c r="A12" s="2"/>
      <c r="B12" s="2" t="s">
        <v>56</v>
      </c>
      <c r="C12" t="s">
        <v>57</v>
      </c>
      <c r="D12" s="2" t="s">
        <v>68</v>
      </c>
      <c r="E12" s="3" t="s">
        <v>34</v>
      </c>
      <c r="F12" s="38">
        <v>2</v>
      </c>
      <c r="G12" s="39">
        <v>2</v>
      </c>
      <c r="H12" s="38">
        <v>3</v>
      </c>
      <c r="I12" s="39">
        <v>3</v>
      </c>
      <c r="J12" s="38">
        <v>4</v>
      </c>
      <c r="K12" s="39">
        <v>3</v>
      </c>
      <c r="L12" s="38">
        <v>5</v>
      </c>
      <c r="M12" s="39">
        <v>4</v>
      </c>
    </row>
    <row r="13" spans="1:13" x14ac:dyDescent="0.25">
      <c r="A13" s="2"/>
      <c r="B13" s="2" t="s">
        <v>5</v>
      </c>
      <c r="C13" t="s">
        <v>58</v>
      </c>
      <c r="D13" s="2" t="s">
        <v>69</v>
      </c>
      <c r="E13" s="3" t="s">
        <v>24</v>
      </c>
      <c r="F13" s="38">
        <v>0</v>
      </c>
      <c r="G13" s="39">
        <v>0</v>
      </c>
      <c r="H13" s="38">
        <v>0</v>
      </c>
      <c r="I13" s="39">
        <v>0</v>
      </c>
      <c r="J13" s="38">
        <v>0</v>
      </c>
      <c r="K13" s="39">
        <v>0</v>
      </c>
      <c r="L13" s="38">
        <v>0</v>
      </c>
      <c r="M13" s="39">
        <v>0</v>
      </c>
    </row>
    <row r="14" spans="1:13" x14ac:dyDescent="0.25">
      <c r="A14" s="2"/>
      <c r="B14" s="2" t="s">
        <v>20</v>
      </c>
      <c r="C14" t="s">
        <v>42</v>
      </c>
      <c r="D14" s="2" t="s">
        <v>70</v>
      </c>
      <c r="E14" s="3" t="s">
        <v>24</v>
      </c>
      <c r="F14" s="38">
        <v>0</v>
      </c>
      <c r="G14" s="39">
        <v>0</v>
      </c>
      <c r="H14" s="38">
        <v>2</v>
      </c>
      <c r="I14" s="39">
        <v>2</v>
      </c>
      <c r="J14" s="38">
        <v>2</v>
      </c>
      <c r="K14" s="39">
        <v>2</v>
      </c>
      <c r="L14" s="38">
        <v>3</v>
      </c>
      <c r="M14" s="39">
        <v>3</v>
      </c>
    </row>
    <row r="15" spans="1:13" x14ac:dyDescent="0.25">
      <c r="A15" s="2"/>
      <c r="B15" s="2" t="s">
        <v>21</v>
      </c>
      <c r="C15" t="s">
        <v>21</v>
      </c>
      <c r="D15" s="2" t="s">
        <v>21</v>
      </c>
      <c r="E15" s="3" t="s">
        <v>34</v>
      </c>
      <c r="F15" s="40"/>
      <c r="G15" s="41"/>
      <c r="H15" s="40"/>
      <c r="I15" s="41"/>
      <c r="J15" s="40"/>
      <c r="K15" s="41"/>
      <c r="L15" s="40"/>
      <c r="M15" s="41"/>
    </row>
    <row r="16" spans="1:13" x14ac:dyDescent="0.25">
      <c r="A16" s="2"/>
      <c r="B16" s="2"/>
      <c r="D16" s="2"/>
      <c r="F16" s="32"/>
      <c r="G16" s="33"/>
      <c r="H16" s="32"/>
      <c r="I16" s="33"/>
      <c r="J16" s="32"/>
      <c r="K16" s="33"/>
      <c r="L16" s="32"/>
      <c r="M16" s="33"/>
    </row>
    <row r="17" spans="1:13" x14ac:dyDescent="0.25">
      <c r="A17" s="5" t="s">
        <v>6</v>
      </c>
      <c r="B17" s="5"/>
      <c r="C17" s="5"/>
      <c r="D17" s="5"/>
      <c r="E17" s="6"/>
      <c r="F17" s="34">
        <f t="shared" ref="F17:M17" si="2">SUM(F18:F25)</f>
        <v>60</v>
      </c>
      <c r="G17" s="35">
        <f t="shared" si="2"/>
        <v>42</v>
      </c>
      <c r="H17" s="34">
        <f t="shared" si="2"/>
        <v>45</v>
      </c>
      <c r="I17" s="35">
        <f t="shared" si="2"/>
        <v>38</v>
      </c>
      <c r="J17" s="34">
        <f t="shared" si="2"/>
        <v>30</v>
      </c>
      <c r="K17" s="35">
        <f t="shared" si="2"/>
        <v>21</v>
      </c>
      <c r="L17" s="34">
        <f t="shared" si="2"/>
        <v>12</v>
      </c>
      <c r="M17" s="35">
        <f t="shared" si="2"/>
        <v>12</v>
      </c>
    </row>
    <row r="18" spans="1:13" x14ac:dyDescent="0.25">
      <c r="A18" s="11"/>
      <c r="B18" s="11" t="s">
        <v>22</v>
      </c>
      <c r="C18" s="12" t="s">
        <v>43</v>
      </c>
      <c r="D18" s="11" t="s">
        <v>71</v>
      </c>
      <c r="E18" s="13" t="s">
        <v>24</v>
      </c>
      <c r="F18" s="42">
        <v>48</v>
      </c>
      <c r="G18" s="43">
        <v>32</v>
      </c>
      <c r="H18" s="42">
        <v>31</v>
      </c>
      <c r="I18" s="43">
        <v>25</v>
      </c>
      <c r="J18" s="42">
        <v>25</v>
      </c>
      <c r="K18" s="43">
        <v>16</v>
      </c>
      <c r="L18" s="42">
        <v>8</v>
      </c>
      <c r="M18" s="43">
        <v>8</v>
      </c>
    </row>
    <row r="19" spans="1:13" x14ac:dyDescent="0.25">
      <c r="A19" s="2"/>
      <c r="B19" s="2" t="s">
        <v>8</v>
      </c>
      <c r="C19" t="s">
        <v>44</v>
      </c>
      <c r="D19" s="2" t="s">
        <v>72</v>
      </c>
      <c r="E19" s="14" t="s">
        <v>24</v>
      </c>
      <c r="F19" s="38">
        <v>3</v>
      </c>
      <c r="G19" s="39">
        <v>0</v>
      </c>
      <c r="H19" s="38">
        <v>0</v>
      </c>
      <c r="I19" s="39">
        <v>0</v>
      </c>
      <c r="J19" s="38">
        <v>0</v>
      </c>
      <c r="K19" s="39">
        <v>0</v>
      </c>
      <c r="L19" s="38">
        <v>0</v>
      </c>
      <c r="M19" s="39">
        <v>0</v>
      </c>
    </row>
    <row r="20" spans="1:13" x14ac:dyDescent="0.25">
      <c r="A20" s="2"/>
      <c r="B20" s="2" t="s">
        <v>8</v>
      </c>
      <c r="C20" t="s">
        <v>45</v>
      </c>
      <c r="D20" s="2" t="s">
        <v>73</v>
      </c>
      <c r="E20" s="14" t="s">
        <v>24</v>
      </c>
      <c r="F20" s="38">
        <v>3</v>
      </c>
      <c r="G20" s="39">
        <v>0</v>
      </c>
      <c r="H20" s="38">
        <v>3</v>
      </c>
      <c r="I20" s="39"/>
      <c r="J20" s="38"/>
      <c r="K20" s="39">
        <v>0</v>
      </c>
      <c r="L20" s="38"/>
      <c r="M20" s="39">
        <v>0</v>
      </c>
    </row>
    <row r="21" spans="1:13" x14ac:dyDescent="0.25">
      <c r="A21" s="2"/>
      <c r="B21" s="2" t="s">
        <v>7</v>
      </c>
      <c r="C21" t="s">
        <v>40</v>
      </c>
      <c r="D21" s="2" t="s">
        <v>74</v>
      </c>
      <c r="E21" s="14" t="s">
        <v>24</v>
      </c>
      <c r="F21" s="38">
        <v>3</v>
      </c>
      <c r="G21" s="39">
        <v>5</v>
      </c>
      <c r="H21" s="38">
        <v>4</v>
      </c>
      <c r="I21" s="39">
        <v>5</v>
      </c>
      <c r="J21" s="38">
        <v>3</v>
      </c>
      <c r="K21" s="39">
        <v>3</v>
      </c>
      <c r="L21" s="38">
        <v>2</v>
      </c>
      <c r="M21" s="39">
        <v>2</v>
      </c>
    </row>
    <row r="22" spans="1:13" x14ac:dyDescent="0.25">
      <c r="A22" s="2"/>
      <c r="B22" s="2" t="s">
        <v>8</v>
      </c>
      <c r="C22" t="s">
        <v>60</v>
      </c>
      <c r="D22" s="2" t="s">
        <v>85</v>
      </c>
      <c r="E22" s="14" t="s">
        <v>34</v>
      </c>
      <c r="F22" s="38"/>
      <c r="G22" s="39"/>
      <c r="H22" s="38"/>
      <c r="I22" s="39"/>
      <c r="J22" s="38"/>
      <c r="K22" s="39"/>
      <c r="L22" s="38"/>
      <c r="M22" s="39"/>
    </row>
    <row r="23" spans="1:13" x14ac:dyDescent="0.25">
      <c r="A23" s="2"/>
      <c r="B23" s="2" t="s">
        <v>25</v>
      </c>
      <c r="C23" s="1" t="s">
        <v>51</v>
      </c>
      <c r="D23" s="4" t="s">
        <v>86</v>
      </c>
      <c r="E23" s="14" t="s">
        <v>34</v>
      </c>
      <c r="F23" s="38">
        <v>3</v>
      </c>
      <c r="G23" s="39">
        <v>5</v>
      </c>
      <c r="H23" s="38">
        <v>4</v>
      </c>
      <c r="I23" s="39">
        <v>5</v>
      </c>
      <c r="J23" s="38"/>
      <c r="K23" s="39"/>
      <c r="L23" s="38"/>
      <c r="M23" s="39"/>
    </row>
    <row r="24" spans="1:13" x14ac:dyDescent="0.25">
      <c r="A24" s="2"/>
      <c r="B24" s="2" t="s">
        <v>55</v>
      </c>
      <c r="C24" t="s">
        <v>64</v>
      </c>
      <c r="D24" s="2" t="s">
        <v>77</v>
      </c>
      <c r="E24" s="14" t="s">
        <v>24</v>
      </c>
      <c r="F24" s="38"/>
      <c r="G24" s="39"/>
      <c r="H24" s="38">
        <v>3</v>
      </c>
      <c r="I24" s="39">
        <v>3</v>
      </c>
      <c r="J24" s="38">
        <v>2</v>
      </c>
      <c r="K24" s="39">
        <v>2</v>
      </c>
      <c r="L24" s="38">
        <v>2</v>
      </c>
      <c r="M24" s="39">
        <v>2</v>
      </c>
    </row>
    <row r="25" spans="1:13" x14ac:dyDescent="0.25">
      <c r="A25" s="5"/>
      <c r="B25" s="5" t="s">
        <v>26</v>
      </c>
      <c r="C25" s="6" t="s">
        <v>26</v>
      </c>
      <c r="D25" s="5" t="s">
        <v>26</v>
      </c>
      <c r="E25" s="7" t="s">
        <v>24</v>
      </c>
      <c r="F25" s="40">
        <v>0</v>
      </c>
      <c r="G25" s="41">
        <v>0</v>
      </c>
      <c r="H25" s="40">
        <v>0</v>
      </c>
      <c r="I25" s="41"/>
      <c r="J25" s="40">
        <v>0</v>
      </c>
      <c r="K25" s="41"/>
      <c r="L25" s="40">
        <v>0</v>
      </c>
      <c r="M25" s="41"/>
    </row>
    <row r="26" spans="1:13" x14ac:dyDescent="0.25">
      <c r="A26" s="2"/>
      <c r="B26" s="2"/>
      <c r="D26" s="2"/>
      <c r="F26" s="32"/>
      <c r="G26" s="33"/>
      <c r="H26" s="32"/>
      <c r="I26" s="33"/>
      <c r="J26" s="32"/>
      <c r="K26" s="33"/>
      <c r="L26" s="32"/>
      <c r="M26" s="33"/>
    </row>
    <row r="27" spans="1:13" x14ac:dyDescent="0.25">
      <c r="A27" s="5" t="s">
        <v>9</v>
      </c>
      <c r="B27" s="5"/>
      <c r="C27" s="5"/>
      <c r="D27" s="5"/>
      <c r="E27" s="6"/>
      <c r="F27" s="34">
        <f t="shared" ref="F27:M27" si="3">SUM(F28:F35)</f>
        <v>10</v>
      </c>
      <c r="G27" s="35">
        <f t="shared" si="3"/>
        <v>13</v>
      </c>
      <c r="H27" s="34">
        <f t="shared" si="3"/>
        <v>20</v>
      </c>
      <c r="I27" s="35">
        <f t="shared" si="3"/>
        <v>21</v>
      </c>
      <c r="J27" s="34">
        <f t="shared" si="3"/>
        <v>17</v>
      </c>
      <c r="K27" s="35">
        <f t="shared" si="3"/>
        <v>23</v>
      </c>
      <c r="L27" s="34">
        <f t="shared" si="3"/>
        <v>15</v>
      </c>
      <c r="M27" s="35">
        <f t="shared" si="3"/>
        <v>21</v>
      </c>
    </row>
    <row r="28" spans="1:13" x14ac:dyDescent="0.25">
      <c r="A28" s="2"/>
      <c r="B28" s="2" t="s">
        <v>27</v>
      </c>
      <c r="C28" t="s">
        <v>113</v>
      </c>
      <c r="D28" s="2" t="s">
        <v>78</v>
      </c>
      <c r="E28" s="14" t="s">
        <v>24</v>
      </c>
      <c r="F28" s="38"/>
      <c r="G28" s="39"/>
      <c r="H28" s="38">
        <v>3</v>
      </c>
      <c r="I28" s="39">
        <v>3</v>
      </c>
      <c r="J28" s="38">
        <v>3</v>
      </c>
      <c r="K28" s="39">
        <v>3</v>
      </c>
      <c r="L28" s="38">
        <v>3</v>
      </c>
      <c r="M28" s="39">
        <v>3</v>
      </c>
    </row>
    <row r="29" spans="1:13" x14ac:dyDescent="0.25">
      <c r="A29" s="2"/>
      <c r="B29" s="2" t="s">
        <v>27</v>
      </c>
      <c r="C29" t="s">
        <v>46</v>
      </c>
      <c r="D29" s="4" t="s">
        <v>79</v>
      </c>
      <c r="E29" s="14" t="s">
        <v>24</v>
      </c>
      <c r="F29" s="38"/>
      <c r="G29" s="39"/>
      <c r="H29" s="38"/>
      <c r="I29" s="39"/>
      <c r="J29" s="38"/>
      <c r="K29" s="39"/>
      <c r="L29" s="38"/>
      <c r="M29" s="39"/>
    </row>
    <row r="30" spans="1:13" x14ac:dyDescent="0.25">
      <c r="A30" s="2"/>
      <c r="B30" s="2" t="s">
        <v>27</v>
      </c>
      <c r="C30" t="s">
        <v>162</v>
      </c>
      <c r="D30" s="4" t="s">
        <v>116</v>
      </c>
      <c r="E30" s="14" t="s">
        <v>24</v>
      </c>
      <c r="F30" s="38">
        <v>2</v>
      </c>
      <c r="G30" s="39">
        <v>4</v>
      </c>
      <c r="H30" s="38">
        <v>2</v>
      </c>
      <c r="I30" s="39">
        <v>3</v>
      </c>
      <c r="J30" s="38">
        <v>2</v>
      </c>
      <c r="K30" s="39">
        <v>3</v>
      </c>
      <c r="L30" s="38">
        <v>3</v>
      </c>
      <c r="M30" s="39">
        <v>3</v>
      </c>
    </row>
    <row r="31" spans="1:13" x14ac:dyDescent="0.25">
      <c r="A31" s="2"/>
      <c r="B31" s="2" t="s">
        <v>23</v>
      </c>
      <c r="C31" s="1" t="s">
        <v>47</v>
      </c>
      <c r="D31" s="4" t="s">
        <v>80</v>
      </c>
      <c r="E31" s="14" t="s">
        <v>24</v>
      </c>
      <c r="F31" s="38">
        <v>3</v>
      </c>
      <c r="G31" s="39">
        <v>4</v>
      </c>
      <c r="H31" s="38">
        <v>3</v>
      </c>
      <c r="I31" s="39">
        <v>3</v>
      </c>
      <c r="J31" s="38">
        <v>3</v>
      </c>
      <c r="K31" s="39">
        <v>3</v>
      </c>
      <c r="L31" s="38"/>
      <c r="M31" s="39"/>
    </row>
    <row r="32" spans="1:13" x14ac:dyDescent="0.25">
      <c r="A32" s="2"/>
      <c r="B32" s="2" t="s">
        <v>10</v>
      </c>
      <c r="C32" s="1" t="s">
        <v>52</v>
      </c>
      <c r="D32" s="4" t="s">
        <v>87</v>
      </c>
      <c r="E32" s="14" t="s">
        <v>34</v>
      </c>
      <c r="F32" s="38"/>
      <c r="G32" s="39"/>
      <c r="H32" s="38">
        <v>3</v>
      </c>
      <c r="I32" s="39">
        <v>3</v>
      </c>
      <c r="J32" s="38">
        <v>4</v>
      </c>
      <c r="K32" s="39">
        <v>4</v>
      </c>
      <c r="L32" s="38">
        <v>4</v>
      </c>
      <c r="M32" s="39">
        <v>5</v>
      </c>
    </row>
    <row r="33" spans="1:13" x14ac:dyDescent="0.25">
      <c r="A33" s="2"/>
      <c r="B33" s="2" t="s">
        <v>10</v>
      </c>
      <c r="C33" s="1" t="s">
        <v>49</v>
      </c>
      <c r="D33" s="4" t="s">
        <v>82</v>
      </c>
      <c r="E33" s="14" t="s">
        <v>34</v>
      </c>
      <c r="F33" s="38"/>
      <c r="G33" s="39"/>
      <c r="H33" s="38">
        <v>4</v>
      </c>
      <c r="I33" s="39">
        <v>4</v>
      </c>
      <c r="J33" s="38">
        <v>5</v>
      </c>
      <c r="K33" s="39">
        <v>5</v>
      </c>
      <c r="L33" s="38">
        <v>5</v>
      </c>
      <c r="M33" s="39">
        <v>5</v>
      </c>
    </row>
    <row r="34" spans="1:13" x14ac:dyDescent="0.25">
      <c r="A34" s="2"/>
      <c r="B34" s="2" t="s">
        <v>28</v>
      </c>
      <c r="C34" s="1" t="s">
        <v>35</v>
      </c>
      <c r="D34" s="2" t="s">
        <v>88</v>
      </c>
      <c r="E34" s="14" t="s">
        <v>34</v>
      </c>
      <c r="F34" s="38">
        <v>5</v>
      </c>
      <c r="G34" s="39">
        <v>5</v>
      </c>
      <c r="H34" s="38">
        <v>5</v>
      </c>
      <c r="I34" s="39">
        <v>5</v>
      </c>
      <c r="J34" s="38"/>
      <c r="K34" s="39">
        <v>5</v>
      </c>
      <c r="L34" s="38"/>
      <c r="M34" s="39">
        <v>5</v>
      </c>
    </row>
    <row r="35" spans="1:13" x14ac:dyDescent="0.25">
      <c r="A35" s="5"/>
      <c r="B35" s="15" t="s">
        <v>29</v>
      </c>
      <c r="C35" s="16" t="s">
        <v>29</v>
      </c>
      <c r="D35" s="7" t="s">
        <v>29</v>
      </c>
      <c r="E35" s="7" t="s">
        <v>34</v>
      </c>
      <c r="F35" s="40">
        <v>0</v>
      </c>
      <c r="G35" s="41"/>
      <c r="H35" s="40">
        <v>0</v>
      </c>
      <c r="I35" s="41"/>
      <c r="J35" s="40"/>
      <c r="K35" s="41"/>
      <c r="L35" s="40">
        <v>0</v>
      </c>
      <c r="M35" s="41"/>
    </row>
    <row r="36" spans="1:13" x14ac:dyDescent="0.25">
      <c r="A36" s="2"/>
      <c r="B36" s="2"/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A37" s="2" t="s">
        <v>31</v>
      </c>
      <c r="B37" s="2"/>
      <c r="D37" s="2"/>
      <c r="F37" s="32"/>
      <c r="G37" s="33"/>
      <c r="H37" s="32"/>
      <c r="I37" s="33"/>
      <c r="J37" s="32"/>
      <c r="K37" s="33"/>
      <c r="L37" s="32"/>
      <c r="M37" s="33"/>
    </row>
    <row r="38" spans="1:13" x14ac:dyDescent="0.25">
      <c r="A38" s="8"/>
      <c r="B38" s="9" t="s">
        <v>91</v>
      </c>
      <c r="C38" s="21" t="s">
        <v>111</v>
      </c>
      <c r="D38" s="22" t="s">
        <v>107</v>
      </c>
      <c r="E38" s="10" t="s">
        <v>24</v>
      </c>
      <c r="F38" s="64"/>
      <c r="G38" s="37"/>
      <c r="H38" s="56"/>
      <c r="I38" s="37"/>
      <c r="J38" s="56"/>
      <c r="K38" s="37"/>
      <c r="L38" s="56"/>
      <c r="M38" s="65"/>
    </row>
    <row r="39" spans="1:13" ht="15.75" thickBot="1" x14ac:dyDescent="0.3">
      <c r="B39" s="2"/>
      <c r="C39" s="1"/>
      <c r="D39" s="2"/>
      <c r="E39" s="3"/>
      <c r="F39" s="62"/>
      <c r="G39" s="33"/>
      <c r="H39" s="55"/>
      <c r="I39" s="33"/>
      <c r="J39" s="55"/>
      <c r="K39" s="33"/>
      <c r="L39" s="55"/>
      <c r="M39" s="63"/>
    </row>
    <row r="40" spans="1:13" x14ac:dyDescent="0.25">
      <c r="D40" s="2"/>
      <c r="F40" s="66"/>
      <c r="G40" s="67"/>
      <c r="H40" s="68"/>
      <c r="I40" s="67"/>
      <c r="J40" s="68"/>
      <c r="K40" s="67"/>
      <c r="L40" s="68"/>
      <c r="M40" s="69"/>
    </row>
    <row r="41" spans="1:13" x14ac:dyDescent="0.25">
      <c r="D41" s="2" t="s">
        <v>30</v>
      </c>
      <c r="F41" s="70">
        <f t="shared" ref="F41:M41" si="4">+F27+F17+F8+F5</f>
        <v>100</v>
      </c>
      <c r="G41" s="71">
        <f t="shared" si="4"/>
        <v>100</v>
      </c>
      <c r="H41" s="72">
        <f t="shared" si="4"/>
        <v>99</v>
      </c>
      <c r="I41" s="71">
        <f t="shared" si="4"/>
        <v>100</v>
      </c>
      <c r="J41" s="72">
        <f t="shared" si="4"/>
        <v>99</v>
      </c>
      <c r="K41" s="71">
        <f t="shared" si="4"/>
        <v>99</v>
      </c>
      <c r="L41" s="72">
        <f t="shared" si="4"/>
        <v>99</v>
      </c>
      <c r="M41" s="73">
        <f t="shared" si="4"/>
        <v>99</v>
      </c>
    </row>
    <row r="42" spans="1:13" ht="15.75" thickBot="1" x14ac:dyDescent="0.3">
      <c r="D42" s="2" t="s">
        <v>32</v>
      </c>
      <c r="F42" s="74">
        <f t="shared" ref="F42:M42" si="5">SUMIF($E$5:$E$38,"&lt;&gt;USD",F5:F38)-100</f>
        <v>80</v>
      </c>
      <c r="G42" s="75">
        <f t="shared" si="5"/>
        <v>58</v>
      </c>
      <c r="H42" s="76">
        <f t="shared" si="5"/>
        <v>74</v>
      </c>
      <c r="I42" s="75">
        <f t="shared" si="5"/>
        <v>60</v>
      </c>
      <c r="J42" s="76">
        <f t="shared" si="5"/>
        <v>83</v>
      </c>
      <c r="K42" s="75">
        <f t="shared" si="5"/>
        <v>66</v>
      </c>
      <c r="L42" s="76">
        <f t="shared" si="5"/>
        <v>82</v>
      </c>
      <c r="M42" s="77">
        <f t="shared" si="5"/>
        <v>69</v>
      </c>
    </row>
    <row r="43" spans="1:13" x14ac:dyDescent="0.25">
      <c r="D43" s="2"/>
      <c r="F43" s="50"/>
      <c r="G43" s="50"/>
    </row>
    <row r="46" spans="1:13" x14ac:dyDescent="0.25">
      <c r="F46" s="52">
        <v>-74</v>
      </c>
      <c r="G46" s="52">
        <v>-59</v>
      </c>
      <c r="H46" s="52">
        <v>-77</v>
      </c>
      <c r="I46" s="52">
        <v>-60</v>
      </c>
      <c r="J46" s="52">
        <v>-80</v>
      </c>
      <c r="K46" s="52">
        <v>-63</v>
      </c>
      <c r="L46" s="52">
        <v>-80</v>
      </c>
      <c r="M46" s="52">
        <v>-63</v>
      </c>
    </row>
    <row r="48" spans="1:13" x14ac:dyDescent="0.25">
      <c r="C48" s="1"/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workbookViewId="0">
      <selection activeCell="C34" sqref="C34"/>
    </sheetView>
  </sheetViews>
  <sheetFormatPr defaultRowHeight="15" outlineLevelCol="1" x14ac:dyDescent="0.25"/>
  <cols>
    <col min="1" max="1" width="11.85546875" bestFit="1" customWidth="1"/>
    <col min="2" max="2" width="20.85546875" bestFit="1" customWidth="1"/>
    <col min="3" max="3" width="25.85546875" customWidth="1" outlineLevel="1"/>
    <col min="4" max="4" width="29.42578125" bestFit="1" customWidth="1"/>
    <col min="5" max="5" width="5.85546875" bestFit="1" customWidth="1"/>
    <col min="6" max="7" width="10.5703125" style="52" customWidth="1"/>
    <col min="8" max="13" width="9.140625" style="52"/>
  </cols>
  <sheetData>
    <row r="1" spans="1:13" ht="15.75" thickBot="1" x14ac:dyDescent="0.3">
      <c r="A1" s="17"/>
      <c r="B1" s="18"/>
      <c r="C1" s="18"/>
      <c r="D1" s="18"/>
      <c r="E1" s="18"/>
      <c r="F1" s="131" t="s">
        <v>13</v>
      </c>
      <c r="G1" s="132"/>
      <c r="H1" s="132"/>
      <c r="I1" s="132"/>
      <c r="J1" s="132"/>
      <c r="K1" s="132"/>
      <c r="L1" s="132"/>
      <c r="M1" s="133"/>
    </row>
    <row r="2" spans="1:13" x14ac:dyDescent="0.25">
      <c r="A2" s="17"/>
      <c r="B2" s="18"/>
      <c r="C2" s="18"/>
      <c r="D2" s="18"/>
      <c r="E2" s="18"/>
      <c r="F2" s="134" t="s">
        <v>15</v>
      </c>
      <c r="G2" s="135"/>
      <c r="H2" s="134" t="s">
        <v>14</v>
      </c>
      <c r="I2" s="135"/>
      <c r="J2" s="134" t="s">
        <v>16</v>
      </c>
      <c r="K2" s="135"/>
      <c r="L2" s="134" t="s">
        <v>17</v>
      </c>
      <c r="M2" s="135"/>
    </row>
    <row r="3" spans="1:13" ht="15.75" thickBot="1" x14ac:dyDescent="0.3">
      <c r="A3" s="19" t="s">
        <v>37</v>
      </c>
      <c r="B3" s="20" t="s">
        <v>38</v>
      </c>
      <c r="C3" s="20" t="s">
        <v>114</v>
      </c>
      <c r="D3" s="20" t="s">
        <v>18</v>
      </c>
      <c r="E3" s="20" t="s">
        <v>115</v>
      </c>
      <c r="F3" s="53" t="s">
        <v>12</v>
      </c>
      <c r="G3" s="54" t="s">
        <v>11</v>
      </c>
      <c r="H3" s="53" t="s">
        <v>12</v>
      </c>
      <c r="I3" s="54" t="s">
        <v>11</v>
      </c>
      <c r="J3" s="53" t="s">
        <v>12</v>
      </c>
      <c r="K3" s="54" t="s">
        <v>11</v>
      </c>
      <c r="L3" s="53" t="s">
        <v>12</v>
      </c>
      <c r="M3" s="54" t="s">
        <v>11</v>
      </c>
    </row>
    <row r="4" spans="1:13" x14ac:dyDescent="0.25">
      <c r="F4" s="32"/>
      <c r="G4" s="33"/>
      <c r="H4" s="32"/>
      <c r="I4" s="33"/>
      <c r="J4" s="32"/>
      <c r="K4" s="33"/>
      <c r="L4" s="32"/>
      <c r="M4" s="33"/>
    </row>
    <row r="5" spans="1:13" x14ac:dyDescent="0.25">
      <c r="A5" s="5" t="s">
        <v>0</v>
      </c>
      <c r="B5" s="5"/>
      <c r="C5" s="5"/>
      <c r="D5" s="6"/>
      <c r="E5" s="6"/>
      <c r="F5" s="34">
        <f t="shared" ref="F5:M5" si="0">SUM(F6)</f>
        <v>10</v>
      </c>
      <c r="G5" s="35">
        <f t="shared" si="0"/>
        <v>30</v>
      </c>
      <c r="H5" s="34">
        <f t="shared" si="0"/>
        <v>5</v>
      </c>
      <c r="I5" s="35">
        <f t="shared" si="0"/>
        <v>20</v>
      </c>
      <c r="J5" s="34">
        <f t="shared" si="0"/>
        <v>2</v>
      </c>
      <c r="K5" s="35">
        <f t="shared" si="0"/>
        <v>15</v>
      </c>
      <c r="L5" s="34">
        <f t="shared" si="0"/>
        <v>2</v>
      </c>
      <c r="M5" s="35">
        <f t="shared" si="0"/>
        <v>10</v>
      </c>
    </row>
    <row r="6" spans="1:13" x14ac:dyDescent="0.25">
      <c r="A6" s="8"/>
      <c r="B6" s="9" t="s">
        <v>1</v>
      </c>
      <c r="C6" s="9" t="s">
        <v>1</v>
      </c>
      <c r="D6" s="10" t="s">
        <v>1</v>
      </c>
      <c r="E6" s="10" t="s">
        <v>36</v>
      </c>
      <c r="F6" s="36">
        <v>10</v>
      </c>
      <c r="G6" s="37">
        <v>30</v>
      </c>
      <c r="H6" s="36">
        <v>5</v>
      </c>
      <c r="I6" s="37">
        <v>20</v>
      </c>
      <c r="J6" s="36">
        <v>2</v>
      </c>
      <c r="K6" s="37">
        <v>15</v>
      </c>
      <c r="L6" s="36">
        <v>2</v>
      </c>
      <c r="M6" s="37">
        <v>10</v>
      </c>
    </row>
    <row r="7" spans="1:13" x14ac:dyDescent="0.25">
      <c r="F7" s="32"/>
      <c r="G7" s="33"/>
      <c r="H7" s="32"/>
      <c r="I7" s="33"/>
      <c r="J7" s="32"/>
      <c r="K7" s="33"/>
      <c r="L7" s="32"/>
      <c r="M7" s="33"/>
    </row>
    <row r="8" spans="1:13" x14ac:dyDescent="0.25">
      <c r="A8" s="5" t="s">
        <v>2</v>
      </c>
      <c r="B8" s="5"/>
      <c r="C8" s="5"/>
      <c r="D8" s="6"/>
      <c r="E8" s="7"/>
      <c r="F8" s="34">
        <f t="shared" ref="F8:M8" si="1">SUM(F9:F15)</f>
        <v>20</v>
      </c>
      <c r="G8" s="35">
        <f>SUM(G9:G15)</f>
        <v>15</v>
      </c>
      <c r="H8" s="34">
        <f t="shared" si="1"/>
        <v>29</v>
      </c>
      <c r="I8" s="35">
        <f t="shared" si="1"/>
        <v>21</v>
      </c>
      <c r="J8" s="34">
        <f t="shared" si="1"/>
        <v>50</v>
      </c>
      <c r="K8" s="35">
        <f t="shared" si="1"/>
        <v>40</v>
      </c>
      <c r="L8" s="34">
        <f t="shared" si="1"/>
        <v>70</v>
      </c>
      <c r="M8" s="35">
        <f t="shared" si="1"/>
        <v>56</v>
      </c>
    </row>
    <row r="9" spans="1:13" x14ac:dyDescent="0.25">
      <c r="A9" s="2"/>
      <c r="B9" s="2" t="s">
        <v>19</v>
      </c>
      <c r="C9" t="s">
        <v>39</v>
      </c>
      <c r="D9" s="2" t="s">
        <v>65</v>
      </c>
      <c r="E9" s="3" t="s">
        <v>24</v>
      </c>
      <c r="F9" s="38">
        <v>16</v>
      </c>
      <c r="G9" s="39">
        <v>11</v>
      </c>
      <c r="H9" s="38">
        <v>22</v>
      </c>
      <c r="I9" s="39">
        <v>14</v>
      </c>
      <c r="J9" s="38">
        <v>40</v>
      </c>
      <c r="K9" s="39">
        <v>30</v>
      </c>
      <c r="L9" s="38">
        <v>57</v>
      </c>
      <c r="M9" s="39">
        <v>43</v>
      </c>
    </row>
    <row r="10" spans="1:13" x14ac:dyDescent="0.25">
      <c r="A10" s="2"/>
      <c r="B10" s="2" t="s">
        <v>3</v>
      </c>
      <c r="C10" t="s">
        <v>62</v>
      </c>
      <c r="D10" s="2" t="s">
        <v>66</v>
      </c>
      <c r="E10" s="3" t="s">
        <v>24</v>
      </c>
      <c r="F10" s="38">
        <v>0</v>
      </c>
      <c r="G10" s="39">
        <v>2</v>
      </c>
      <c r="H10" s="38">
        <v>0</v>
      </c>
      <c r="I10" s="39">
        <v>2</v>
      </c>
      <c r="J10" s="38">
        <v>0</v>
      </c>
      <c r="K10" s="39">
        <v>2</v>
      </c>
      <c r="L10" s="38">
        <v>0</v>
      </c>
      <c r="M10" s="39">
        <v>2</v>
      </c>
    </row>
    <row r="11" spans="1:13" x14ac:dyDescent="0.25">
      <c r="A11" s="2"/>
      <c r="B11" s="2" t="s">
        <v>4</v>
      </c>
      <c r="C11" t="s">
        <v>41</v>
      </c>
      <c r="D11" s="2" t="s">
        <v>67</v>
      </c>
      <c r="E11" s="3" t="s">
        <v>24</v>
      </c>
      <c r="F11" s="38">
        <v>2</v>
      </c>
      <c r="G11" s="39">
        <v>0</v>
      </c>
      <c r="H11" s="38">
        <v>2</v>
      </c>
      <c r="I11" s="39">
        <v>0</v>
      </c>
      <c r="J11" s="38">
        <v>4</v>
      </c>
      <c r="K11" s="39">
        <v>3</v>
      </c>
      <c r="L11" s="38">
        <v>5</v>
      </c>
      <c r="M11" s="39">
        <v>4</v>
      </c>
    </row>
    <row r="12" spans="1:13" x14ac:dyDescent="0.25">
      <c r="A12" s="2"/>
      <c r="B12" s="2" t="s">
        <v>56</v>
      </c>
      <c r="C12" t="s">
        <v>57</v>
      </c>
      <c r="D12" s="2" t="s">
        <v>68</v>
      </c>
      <c r="E12" s="3" t="s">
        <v>34</v>
      </c>
      <c r="F12" s="38">
        <v>2</v>
      </c>
      <c r="G12" s="39">
        <v>2</v>
      </c>
      <c r="H12" s="38">
        <v>3</v>
      </c>
      <c r="I12" s="39">
        <v>3</v>
      </c>
      <c r="J12" s="38">
        <v>4</v>
      </c>
      <c r="K12" s="39">
        <v>3</v>
      </c>
      <c r="L12" s="38">
        <v>5</v>
      </c>
      <c r="M12" s="39">
        <v>4</v>
      </c>
    </row>
    <row r="13" spans="1:13" x14ac:dyDescent="0.25">
      <c r="A13" s="2"/>
      <c r="B13" s="2" t="s">
        <v>5</v>
      </c>
      <c r="C13" t="s">
        <v>58</v>
      </c>
      <c r="D13" s="2" t="s">
        <v>69</v>
      </c>
      <c r="E13" s="3" t="s">
        <v>24</v>
      </c>
      <c r="F13" s="38">
        <v>0</v>
      </c>
      <c r="G13" s="39">
        <v>0</v>
      </c>
      <c r="H13" s="38">
        <v>0</v>
      </c>
      <c r="I13" s="39">
        <v>0</v>
      </c>
      <c r="J13" s="38">
        <v>0</v>
      </c>
      <c r="K13" s="39">
        <v>0</v>
      </c>
      <c r="L13" s="38">
        <v>0</v>
      </c>
      <c r="M13" s="39">
        <v>0</v>
      </c>
    </row>
    <row r="14" spans="1:13" x14ac:dyDescent="0.25">
      <c r="A14" s="2"/>
      <c r="B14" s="2" t="s">
        <v>20</v>
      </c>
      <c r="C14" t="s">
        <v>42</v>
      </c>
      <c r="D14" s="2" t="s">
        <v>70</v>
      </c>
      <c r="E14" s="3" t="s">
        <v>24</v>
      </c>
      <c r="F14" s="38">
        <v>0</v>
      </c>
      <c r="G14" s="39">
        <v>0</v>
      </c>
      <c r="H14" s="38">
        <v>2</v>
      </c>
      <c r="I14" s="39">
        <v>2</v>
      </c>
      <c r="J14" s="38">
        <v>2</v>
      </c>
      <c r="K14" s="39">
        <v>2</v>
      </c>
      <c r="L14" s="38">
        <v>3</v>
      </c>
      <c r="M14" s="39">
        <v>3</v>
      </c>
    </row>
    <row r="15" spans="1:13" x14ac:dyDescent="0.25">
      <c r="A15" s="2"/>
      <c r="B15" s="2" t="s">
        <v>21</v>
      </c>
      <c r="C15" t="s">
        <v>21</v>
      </c>
      <c r="D15" s="2" t="s">
        <v>21</v>
      </c>
      <c r="E15" s="3" t="s">
        <v>36</v>
      </c>
      <c r="F15" s="40"/>
      <c r="G15" s="41"/>
      <c r="H15" s="40"/>
      <c r="I15" s="41"/>
      <c r="J15" s="40"/>
      <c r="K15" s="41"/>
      <c r="L15" s="40"/>
      <c r="M15" s="41"/>
    </row>
    <row r="16" spans="1:13" x14ac:dyDescent="0.25">
      <c r="A16" s="2"/>
      <c r="B16" s="2"/>
      <c r="D16" s="2"/>
      <c r="F16" s="32"/>
      <c r="G16" s="33"/>
      <c r="H16" s="32"/>
      <c r="I16" s="33"/>
      <c r="J16" s="32"/>
      <c r="K16" s="33"/>
      <c r="L16" s="32"/>
      <c r="M16" s="33"/>
    </row>
    <row r="17" spans="1:13" x14ac:dyDescent="0.25">
      <c r="A17" s="5" t="s">
        <v>6</v>
      </c>
      <c r="B17" s="5"/>
      <c r="C17" s="5"/>
      <c r="D17" s="5"/>
      <c r="E17" s="6"/>
      <c r="F17" s="34">
        <f t="shared" ref="F17:M17" si="2">SUM(F18:F25)</f>
        <v>60</v>
      </c>
      <c r="G17" s="35">
        <f t="shared" si="2"/>
        <v>42</v>
      </c>
      <c r="H17" s="34">
        <f t="shared" si="2"/>
        <v>45</v>
      </c>
      <c r="I17" s="35">
        <f t="shared" si="2"/>
        <v>38</v>
      </c>
      <c r="J17" s="34">
        <f t="shared" si="2"/>
        <v>30</v>
      </c>
      <c r="K17" s="35">
        <f t="shared" si="2"/>
        <v>21</v>
      </c>
      <c r="L17" s="34">
        <f t="shared" si="2"/>
        <v>12</v>
      </c>
      <c r="M17" s="35">
        <f t="shared" si="2"/>
        <v>12</v>
      </c>
    </row>
    <row r="18" spans="1:13" x14ac:dyDescent="0.25">
      <c r="A18" s="11"/>
      <c r="B18" s="11" t="s">
        <v>22</v>
      </c>
      <c r="C18" s="12" t="s">
        <v>43</v>
      </c>
      <c r="D18" s="11" t="s">
        <v>71</v>
      </c>
      <c r="E18" s="13" t="s">
        <v>24</v>
      </c>
      <c r="F18" s="42">
        <v>48</v>
      </c>
      <c r="G18" s="43">
        <v>32</v>
      </c>
      <c r="H18" s="42">
        <v>31</v>
      </c>
      <c r="I18" s="43">
        <v>25</v>
      </c>
      <c r="J18" s="42">
        <v>25</v>
      </c>
      <c r="K18" s="43">
        <v>16</v>
      </c>
      <c r="L18" s="42">
        <v>8</v>
      </c>
      <c r="M18" s="43">
        <v>8</v>
      </c>
    </row>
    <row r="19" spans="1:13" x14ac:dyDescent="0.25">
      <c r="A19" s="2"/>
      <c r="B19" s="2" t="s">
        <v>8</v>
      </c>
      <c r="C19" t="s">
        <v>44</v>
      </c>
      <c r="D19" s="2" t="s">
        <v>72</v>
      </c>
      <c r="E19" s="14" t="s">
        <v>24</v>
      </c>
      <c r="F19" s="38">
        <v>3</v>
      </c>
      <c r="G19" s="39">
        <v>0</v>
      </c>
      <c r="H19" s="38">
        <v>0</v>
      </c>
      <c r="I19" s="39">
        <v>0</v>
      </c>
      <c r="J19" s="38">
        <v>0</v>
      </c>
      <c r="K19" s="39">
        <v>0</v>
      </c>
      <c r="L19" s="38">
        <v>0</v>
      </c>
      <c r="M19" s="39">
        <v>0</v>
      </c>
    </row>
    <row r="20" spans="1:13" x14ac:dyDescent="0.25">
      <c r="A20" s="2"/>
      <c r="B20" s="2" t="s">
        <v>8</v>
      </c>
      <c r="C20" t="s">
        <v>45</v>
      </c>
      <c r="D20" s="2" t="s">
        <v>73</v>
      </c>
      <c r="E20" s="14" t="s">
        <v>24</v>
      </c>
      <c r="F20" s="38">
        <v>3</v>
      </c>
      <c r="G20" s="39">
        <v>0</v>
      </c>
      <c r="H20" s="38">
        <v>3</v>
      </c>
      <c r="I20" s="39"/>
      <c r="J20" s="38"/>
      <c r="K20" s="39">
        <v>0</v>
      </c>
      <c r="L20" s="38"/>
      <c r="M20" s="39">
        <v>0</v>
      </c>
    </row>
    <row r="21" spans="1:13" x14ac:dyDescent="0.25">
      <c r="A21" s="2"/>
      <c r="B21" s="2" t="s">
        <v>7</v>
      </c>
      <c r="C21" t="s">
        <v>40</v>
      </c>
      <c r="D21" s="2" t="s">
        <v>74</v>
      </c>
      <c r="E21" s="14" t="s">
        <v>24</v>
      </c>
      <c r="F21" s="38">
        <v>3</v>
      </c>
      <c r="G21" s="39">
        <v>5</v>
      </c>
      <c r="H21" s="38">
        <v>4</v>
      </c>
      <c r="I21" s="39">
        <v>5</v>
      </c>
      <c r="J21" s="38">
        <v>3</v>
      </c>
      <c r="K21" s="39">
        <v>3</v>
      </c>
      <c r="L21" s="38">
        <v>2</v>
      </c>
      <c r="M21" s="39">
        <v>2</v>
      </c>
    </row>
    <row r="22" spans="1:13" x14ac:dyDescent="0.25">
      <c r="A22" s="2"/>
      <c r="B22" s="2" t="s">
        <v>8</v>
      </c>
      <c r="C22" t="s">
        <v>61</v>
      </c>
      <c r="D22" s="2" t="s">
        <v>89</v>
      </c>
      <c r="E22" s="14" t="s">
        <v>36</v>
      </c>
      <c r="F22" s="38"/>
      <c r="G22" s="39"/>
      <c r="H22" s="38"/>
      <c r="I22" s="39"/>
      <c r="J22" s="38"/>
      <c r="K22" s="39"/>
      <c r="L22" s="38"/>
      <c r="M22" s="39"/>
    </row>
    <row r="23" spans="1:13" x14ac:dyDescent="0.25">
      <c r="A23" s="2"/>
      <c r="B23" s="2" t="s">
        <v>25</v>
      </c>
      <c r="C23" t="s">
        <v>53</v>
      </c>
      <c r="D23" s="2" t="s">
        <v>90</v>
      </c>
      <c r="E23" s="14" t="s">
        <v>36</v>
      </c>
      <c r="F23" s="38">
        <v>3</v>
      </c>
      <c r="G23" s="39">
        <v>5</v>
      </c>
      <c r="H23" s="38">
        <v>4</v>
      </c>
      <c r="I23" s="39">
        <v>5</v>
      </c>
      <c r="J23" s="38"/>
      <c r="K23" s="39"/>
      <c r="L23" s="38"/>
      <c r="M23" s="39"/>
    </row>
    <row r="24" spans="1:13" x14ac:dyDescent="0.25">
      <c r="A24" s="2"/>
      <c r="B24" s="2" t="s">
        <v>55</v>
      </c>
      <c r="C24" t="s">
        <v>64</v>
      </c>
      <c r="D24" s="2" t="s">
        <v>77</v>
      </c>
      <c r="E24" s="14" t="s">
        <v>24</v>
      </c>
      <c r="F24" s="38"/>
      <c r="G24" s="39"/>
      <c r="H24" s="38">
        <v>3</v>
      </c>
      <c r="I24" s="39">
        <v>3</v>
      </c>
      <c r="J24" s="38">
        <v>2</v>
      </c>
      <c r="K24" s="39">
        <v>2</v>
      </c>
      <c r="L24" s="38">
        <v>2</v>
      </c>
      <c r="M24" s="39">
        <v>2</v>
      </c>
    </row>
    <row r="25" spans="1:13" x14ac:dyDescent="0.25">
      <c r="A25" s="5"/>
      <c r="B25" s="5" t="s">
        <v>26</v>
      </c>
      <c r="C25" s="6" t="s">
        <v>26</v>
      </c>
      <c r="D25" s="5" t="s">
        <v>26</v>
      </c>
      <c r="E25" s="7" t="s">
        <v>36</v>
      </c>
      <c r="F25" s="40">
        <v>0</v>
      </c>
      <c r="G25" s="41">
        <v>0</v>
      </c>
      <c r="H25" s="40">
        <v>0</v>
      </c>
      <c r="I25" s="41"/>
      <c r="J25" s="40">
        <v>0</v>
      </c>
      <c r="K25" s="41"/>
      <c r="L25" s="40">
        <v>0</v>
      </c>
      <c r="M25" s="41"/>
    </row>
    <row r="26" spans="1:13" x14ac:dyDescent="0.25">
      <c r="A26" s="2"/>
      <c r="B26" s="2"/>
      <c r="D26" s="2"/>
      <c r="F26" s="32"/>
      <c r="G26" s="33"/>
      <c r="H26" s="32"/>
      <c r="I26" s="33"/>
      <c r="J26" s="32"/>
      <c r="K26" s="33"/>
      <c r="L26" s="32"/>
      <c r="M26" s="33"/>
    </row>
    <row r="27" spans="1:13" x14ac:dyDescent="0.25">
      <c r="A27" s="5" t="s">
        <v>9</v>
      </c>
      <c r="B27" s="5"/>
      <c r="C27" s="5"/>
      <c r="D27" s="5"/>
      <c r="E27" s="6"/>
      <c r="F27" s="34">
        <f t="shared" ref="F27:M27" si="3">SUM(F28:F35)</f>
        <v>10</v>
      </c>
      <c r="G27" s="35">
        <f t="shared" si="3"/>
        <v>13</v>
      </c>
      <c r="H27" s="34">
        <f t="shared" si="3"/>
        <v>20</v>
      </c>
      <c r="I27" s="35">
        <f t="shared" si="3"/>
        <v>21</v>
      </c>
      <c r="J27" s="34">
        <f t="shared" si="3"/>
        <v>17</v>
      </c>
      <c r="K27" s="35">
        <f t="shared" si="3"/>
        <v>23</v>
      </c>
      <c r="L27" s="34">
        <f t="shared" si="3"/>
        <v>15</v>
      </c>
      <c r="M27" s="35">
        <f t="shared" si="3"/>
        <v>21</v>
      </c>
    </row>
    <row r="28" spans="1:13" x14ac:dyDescent="0.25">
      <c r="A28" s="2"/>
      <c r="B28" s="2" t="s">
        <v>27</v>
      </c>
      <c r="C28" t="s">
        <v>113</v>
      </c>
      <c r="D28" s="2" t="s">
        <v>78</v>
      </c>
      <c r="E28" s="14" t="s">
        <v>24</v>
      </c>
      <c r="F28" s="38"/>
      <c r="G28" s="39"/>
      <c r="H28" s="38">
        <v>3</v>
      </c>
      <c r="I28" s="39">
        <v>3</v>
      </c>
      <c r="J28" s="38">
        <v>3</v>
      </c>
      <c r="K28" s="39">
        <v>3</v>
      </c>
      <c r="L28" s="38">
        <v>3</v>
      </c>
      <c r="M28" s="39">
        <v>3</v>
      </c>
    </row>
    <row r="29" spans="1:13" x14ac:dyDescent="0.25">
      <c r="A29" s="2"/>
      <c r="B29" s="2" t="s">
        <v>27</v>
      </c>
      <c r="C29" t="s">
        <v>46</v>
      </c>
      <c r="D29" s="4" t="s">
        <v>79</v>
      </c>
      <c r="E29" s="14" t="s">
        <v>24</v>
      </c>
      <c r="F29" s="38"/>
      <c r="G29" s="39"/>
      <c r="H29" s="38"/>
      <c r="I29" s="39"/>
      <c r="J29" s="38"/>
      <c r="K29" s="39"/>
      <c r="L29" s="38"/>
      <c r="M29" s="39"/>
    </row>
    <row r="30" spans="1:13" x14ac:dyDescent="0.25">
      <c r="A30" s="2"/>
      <c r="B30" s="2" t="s">
        <v>27</v>
      </c>
      <c r="C30" t="s">
        <v>163</v>
      </c>
      <c r="D30" s="4" t="s">
        <v>116</v>
      </c>
      <c r="E30" s="14" t="s">
        <v>24</v>
      </c>
      <c r="F30" s="38">
        <v>2</v>
      </c>
      <c r="G30" s="39">
        <v>4</v>
      </c>
      <c r="H30" s="38">
        <v>2</v>
      </c>
      <c r="I30" s="39">
        <v>3</v>
      </c>
      <c r="J30" s="38">
        <v>2</v>
      </c>
      <c r="K30" s="39">
        <v>3</v>
      </c>
      <c r="L30" s="38">
        <v>3</v>
      </c>
      <c r="M30" s="39">
        <v>3</v>
      </c>
    </row>
    <row r="31" spans="1:13" x14ac:dyDescent="0.25">
      <c r="A31" s="2"/>
      <c r="B31" s="2" t="s">
        <v>23</v>
      </c>
      <c r="C31" s="1" t="s">
        <v>47</v>
      </c>
      <c r="D31" s="4" t="s">
        <v>80</v>
      </c>
      <c r="E31" s="14" t="s">
        <v>24</v>
      </c>
      <c r="F31" s="38">
        <v>3</v>
      </c>
      <c r="G31" s="39">
        <v>4</v>
      </c>
      <c r="H31" s="38">
        <v>3</v>
      </c>
      <c r="I31" s="39">
        <v>3</v>
      </c>
      <c r="J31" s="38">
        <v>3</v>
      </c>
      <c r="K31" s="39">
        <v>3</v>
      </c>
      <c r="L31" s="38"/>
      <c r="M31" s="39"/>
    </row>
    <row r="32" spans="1:13" x14ac:dyDescent="0.25">
      <c r="A32" s="2"/>
      <c r="B32" s="2" t="s">
        <v>10</v>
      </c>
      <c r="C32" s="1" t="s">
        <v>52</v>
      </c>
      <c r="D32" s="4" t="s">
        <v>87</v>
      </c>
      <c r="E32" s="14" t="s">
        <v>24</v>
      </c>
      <c r="F32" s="38"/>
      <c r="G32" s="39"/>
      <c r="H32" s="38">
        <v>3</v>
      </c>
      <c r="I32" s="39">
        <v>3</v>
      </c>
      <c r="J32" s="38">
        <v>4</v>
      </c>
      <c r="K32" s="39">
        <v>4</v>
      </c>
      <c r="L32" s="38">
        <v>4</v>
      </c>
      <c r="M32" s="39">
        <v>5</v>
      </c>
    </row>
    <row r="33" spans="1:13" x14ac:dyDescent="0.25">
      <c r="A33" s="2"/>
      <c r="B33" s="2" t="s">
        <v>10</v>
      </c>
      <c r="C33" s="1" t="s">
        <v>49</v>
      </c>
      <c r="D33" s="4" t="s">
        <v>82</v>
      </c>
      <c r="E33" s="14" t="s">
        <v>24</v>
      </c>
      <c r="F33" s="38"/>
      <c r="G33" s="39"/>
      <c r="H33" s="38">
        <v>4</v>
      </c>
      <c r="I33" s="39">
        <v>4</v>
      </c>
      <c r="J33" s="38">
        <v>5</v>
      </c>
      <c r="K33" s="39">
        <v>5</v>
      </c>
      <c r="L33" s="38">
        <v>5</v>
      </c>
      <c r="M33" s="39">
        <v>5</v>
      </c>
    </row>
    <row r="34" spans="1:13" x14ac:dyDescent="0.25">
      <c r="A34" s="2"/>
      <c r="B34" s="2" t="s">
        <v>28</v>
      </c>
      <c r="C34" s="1" t="s">
        <v>54</v>
      </c>
      <c r="D34" s="2" t="s">
        <v>166</v>
      </c>
      <c r="E34" s="14" t="s">
        <v>36</v>
      </c>
      <c r="F34" s="38">
        <v>5</v>
      </c>
      <c r="G34" s="39">
        <v>5</v>
      </c>
      <c r="H34" s="38">
        <v>5</v>
      </c>
      <c r="I34" s="39">
        <v>5</v>
      </c>
      <c r="J34" s="38"/>
      <c r="K34" s="39">
        <v>5</v>
      </c>
      <c r="L34" s="38"/>
      <c r="M34" s="39">
        <v>5</v>
      </c>
    </row>
    <row r="35" spans="1:13" x14ac:dyDescent="0.25">
      <c r="A35" s="5"/>
      <c r="B35" s="15" t="s">
        <v>29</v>
      </c>
      <c r="C35" s="16" t="s">
        <v>29</v>
      </c>
      <c r="D35" s="7" t="s">
        <v>29</v>
      </c>
      <c r="E35" s="7" t="s">
        <v>36</v>
      </c>
      <c r="F35" s="40">
        <v>0</v>
      </c>
      <c r="G35" s="41"/>
      <c r="H35" s="40">
        <v>0</v>
      </c>
      <c r="I35" s="41"/>
      <c r="J35" s="40"/>
      <c r="K35" s="41"/>
      <c r="L35" s="40">
        <v>0</v>
      </c>
      <c r="M35" s="41"/>
    </row>
    <row r="36" spans="1:13" x14ac:dyDescent="0.25">
      <c r="A36" s="2"/>
      <c r="B36" s="2"/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A37" s="2" t="s">
        <v>31</v>
      </c>
      <c r="B37" s="2"/>
      <c r="D37" s="2"/>
      <c r="F37" s="32"/>
      <c r="G37" s="33"/>
      <c r="H37" s="32"/>
      <c r="I37" s="33"/>
      <c r="J37" s="32"/>
      <c r="K37" s="33"/>
      <c r="L37" s="32"/>
      <c r="M37" s="33"/>
    </row>
    <row r="38" spans="1:13" ht="15" customHeight="1" x14ac:dyDescent="0.25">
      <c r="A38" s="8"/>
      <c r="B38" s="9" t="s">
        <v>91</v>
      </c>
      <c r="C38" s="23" t="s">
        <v>112</v>
      </c>
      <c r="D38" s="9" t="s">
        <v>109</v>
      </c>
      <c r="E38" s="10" t="s">
        <v>24</v>
      </c>
      <c r="F38" s="56"/>
      <c r="G38" s="37"/>
      <c r="H38" s="56"/>
      <c r="I38" s="37"/>
      <c r="J38" s="56"/>
      <c r="K38" s="37"/>
      <c r="L38" s="56"/>
      <c r="M38" s="37"/>
    </row>
    <row r="39" spans="1:13" ht="15.75" thickBot="1" x14ac:dyDescent="0.3">
      <c r="B39" s="2"/>
      <c r="C39" s="1"/>
      <c r="D39" s="2"/>
      <c r="E39" s="3"/>
      <c r="F39" s="55"/>
      <c r="G39" s="33"/>
      <c r="H39" s="55"/>
      <c r="I39" s="33"/>
      <c r="J39" s="55"/>
      <c r="K39" s="33"/>
      <c r="L39" s="55"/>
      <c r="M39" s="33"/>
    </row>
    <row r="40" spans="1:13" x14ac:dyDescent="0.25">
      <c r="D40" s="2"/>
      <c r="F40" s="68"/>
      <c r="G40" s="67"/>
      <c r="H40" s="68"/>
      <c r="I40" s="67"/>
      <c r="J40" s="68"/>
      <c r="K40" s="67"/>
      <c r="L40" s="68"/>
      <c r="M40" s="67"/>
    </row>
    <row r="41" spans="1:13" x14ac:dyDescent="0.25">
      <c r="D41" s="2" t="s">
        <v>30</v>
      </c>
      <c r="F41" s="72">
        <f t="shared" ref="F41:M41" si="4">+F27+F17+F8+F5</f>
        <v>100</v>
      </c>
      <c r="G41" s="71">
        <f t="shared" si="4"/>
        <v>100</v>
      </c>
      <c r="H41" s="72">
        <f t="shared" si="4"/>
        <v>99</v>
      </c>
      <c r="I41" s="71">
        <f t="shared" si="4"/>
        <v>100</v>
      </c>
      <c r="J41" s="72">
        <f t="shared" si="4"/>
        <v>99</v>
      </c>
      <c r="K41" s="71">
        <f t="shared" si="4"/>
        <v>99</v>
      </c>
      <c r="L41" s="72">
        <f t="shared" si="4"/>
        <v>99</v>
      </c>
      <c r="M41" s="71">
        <f t="shared" si="4"/>
        <v>99</v>
      </c>
    </row>
    <row r="42" spans="1:13" ht="15.75" thickBot="1" x14ac:dyDescent="0.3">
      <c r="D42" s="2" t="s">
        <v>32</v>
      </c>
      <c r="F42" s="76">
        <f t="shared" ref="F42:M42" si="5">SUMIF($E$5:$E$38,"&lt;&gt;GBP",F5:F38)-100</f>
        <v>82</v>
      </c>
      <c r="G42" s="75">
        <f t="shared" si="5"/>
        <v>60</v>
      </c>
      <c r="H42" s="76">
        <f t="shared" si="5"/>
        <v>84</v>
      </c>
      <c r="I42" s="75">
        <f t="shared" si="5"/>
        <v>70</v>
      </c>
      <c r="J42" s="76">
        <f t="shared" si="5"/>
        <v>96</v>
      </c>
      <c r="K42" s="75">
        <f t="shared" si="5"/>
        <v>78</v>
      </c>
      <c r="L42" s="76">
        <f t="shared" si="5"/>
        <v>96</v>
      </c>
      <c r="M42" s="75">
        <f t="shared" si="5"/>
        <v>83</v>
      </c>
    </row>
    <row r="43" spans="1:13" x14ac:dyDescent="0.25">
      <c r="D43" s="2"/>
      <c r="F43" s="50"/>
      <c r="G43" s="50"/>
    </row>
    <row r="47" spans="1:13" x14ac:dyDescent="0.25">
      <c r="F47" s="52">
        <v>-77</v>
      </c>
      <c r="G47" s="52">
        <v>-68</v>
      </c>
      <c r="H47" s="52">
        <v>-80</v>
      </c>
      <c r="I47" s="52">
        <v>-71</v>
      </c>
      <c r="J47" s="52">
        <v>-83</v>
      </c>
      <c r="K47" s="52">
        <v>-75</v>
      </c>
      <c r="L47" s="52">
        <v>-83</v>
      </c>
      <c r="M47" s="52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229"/>
  <sheetViews>
    <sheetView workbookViewId="0">
      <selection activeCell="M18" sqref="M18"/>
    </sheetView>
  </sheetViews>
  <sheetFormatPr defaultColWidth="10.42578125" defaultRowHeight="15" outlineLevelRow="1" x14ac:dyDescent="0.25"/>
  <cols>
    <col min="1" max="1" width="16.85546875" bestFit="1" customWidth="1"/>
    <col min="2" max="2" width="18.5703125" customWidth="1"/>
    <col min="3" max="3" width="36" customWidth="1"/>
    <col min="4" max="4" width="6.28515625" bestFit="1" customWidth="1"/>
    <col min="5" max="21" width="10.42578125" style="24" customWidth="1"/>
    <col min="22" max="60" width="10.42578125" customWidth="1"/>
    <col min="61" max="61" width="9.42578125" customWidth="1"/>
    <col min="62" max="63" width="9" customWidth="1"/>
    <col min="64" max="64" width="11.28515625" customWidth="1"/>
  </cols>
  <sheetData>
    <row r="1" spans="1:70" x14ac:dyDescent="0.25">
      <c r="A1" s="26" t="s">
        <v>100</v>
      </c>
      <c r="B1" t="s">
        <v>24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70" x14ac:dyDescent="0.25">
      <c r="A2" s="26" t="s">
        <v>99</v>
      </c>
      <c r="B2" t="s">
        <v>14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70" x14ac:dyDescent="0.25">
      <c r="A3" s="26" t="s">
        <v>102</v>
      </c>
      <c r="B3" t="s">
        <v>98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70" x14ac:dyDescent="0.25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70" s="27" customFormat="1" x14ac:dyDescent="0.25">
      <c r="A5" s="26" t="s">
        <v>101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s="27" customFormat="1" ht="60" x14ac:dyDescent="0.25">
      <c r="A6"/>
      <c r="B6"/>
      <c r="C6"/>
      <c r="D6"/>
      <c r="E6" s="27" t="s">
        <v>117</v>
      </c>
      <c r="F6" s="27" t="s">
        <v>118</v>
      </c>
      <c r="G6" s="27" t="s">
        <v>119</v>
      </c>
      <c r="H6" s="27" t="s">
        <v>120</v>
      </c>
      <c r="I6" s="27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x14ac:dyDescent="0.25">
      <c r="E7" t="s">
        <v>117</v>
      </c>
      <c r="F7" t="s">
        <v>118</v>
      </c>
      <c r="G7" t="s">
        <v>132</v>
      </c>
      <c r="H7" t="s">
        <v>133</v>
      </c>
      <c r="I7" t="s">
        <v>134</v>
      </c>
      <c r="J7" t="s">
        <v>135</v>
      </c>
      <c r="K7" t="s">
        <v>136</v>
      </c>
      <c r="L7" t="s">
        <v>137</v>
      </c>
      <c r="M7" t="s">
        <v>138</v>
      </c>
      <c r="N7" t="s">
        <v>139</v>
      </c>
      <c r="O7" t="s">
        <v>140</v>
      </c>
      <c r="P7" t="s">
        <v>141</v>
      </c>
      <c r="Q7" t="s">
        <v>138</v>
      </c>
      <c r="R7" t="s">
        <v>138</v>
      </c>
      <c r="S7" t="s">
        <v>137</v>
      </c>
      <c r="T7"/>
      <c r="U7"/>
    </row>
    <row r="8" spans="1:70" x14ac:dyDescent="0.25">
      <c r="A8" t="s">
        <v>1</v>
      </c>
      <c r="B8" t="s">
        <v>1</v>
      </c>
      <c r="C8" t="s">
        <v>1</v>
      </c>
      <c r="D8" t="s">
        <v>24</v>
      </c>
      <c r="E8" s="25">
        <v>5</v>
      </c>
      <c r="F8" s="25">
        <v>20</v>
      </c>
      <c r="G8" s="25">
        <v>21.207100000000001</v>
      </c>
      <c r="H8" s="25">
        <v>47.466799999999999</v>
      </c>
      <c r="I8" s="25">
        <v>19.412800000000001</v>
      </c>
      <c r="J8" s="25">
        <v>4.01</v>
      </c>
      <c r="K8" s="25">
        <v>7.45</v>
      </c>
      <c r="L8" s="25">
        <v>26.4895</v>
      </c>
      <c r="M8" s="25">
        <v>19.920500000000001</v>
      </c>
      <c r="N8" s="25">
        <v>28.078499999999998</v>
      </c>
      <c r="O8" s="25">
        <v>14.949</v>
      </c>
      <c r="P8" s="25">
        <v>29.935199999999998</v>
      </c>
      <c r="Q8" s="25">
        <v>6.3597000000000001</v>
      </c>
      <c r="R8" s="25">
        <v>3.8565999999999998</v>
      </c>
      <c r="S8" s="25">
        <v>45.200400000000002</v>
      </c>
      <c r="T8"/>
      <c r="U8"/>
    </row>
    <row r="9" spans="1:70" x14ac:dyDescent="0.25">
      <c r="A9" t="s">
        <v>97</v>
      </c>
      <c r="E9" s="25">
        <v>5</v>
      </c>
      <c r="F9" s="25">
        <v>20</v>
      </c>
      <c r="G9" s="25">
        <v>21.207100000000001</v>
      </c>
      <c r="H9" s="25">
        <v>47.466799999999999</v>
      </c>
      <c r="I9" s="25">
        <v>19.412800000000001</v>
      </c>
      <c r="J9" s="25">
        <v>4.01</v>
      </c>
      <c r="K9" s="25">
        <v>7.45</v>
      </c>
      <c r="L9" s="25">
        <v>26.4895</v>
      </c>
      <c r="M9" s="25">
        <v>19.920500000000001</v>
      </c>
      <c r="N9" s="25">
        <v>28.078499999999998</v>
      </c>
      <c r="O9" s="25">
        <v>14.949</v>
      </c>
      <c r="P9" s="25">
        <v>29.935199999999998</v>
      </c>
      <c r="Q9" s="25">
        <v>6.3597000000000001</v>
      </c>
      <c r="R9" s="25">
        <v>3.8565999999999998</v>
      </c>
      <c r="S9" s="25">
        <v>45.200400000000002</v>
      </c>
      <c r="T9"/>
      <c r="U9"/>
    </row>
    <row r="10" spans="1:70" outlineLevel="1" x14ac:dyDescent="0.25">
      <c r="A10" t="s">
        <v>6</v>
      </c>
      <c r="B10" t="s">
        <v>22</v>
      </c>
      <c r="C10" t="s">
        <v>71</v>
      </c>
      <c r="D10" t="s">
        <v>24</v>
      </c>
      <c r="E10" s="25">
        <v>31</v>
      </c>
      <c r="F10" s="25">
        <v>25</v>
      </c>
      <c r="G10" s="25">
        <v>15.8284</v>
      </c>
      <c r="H10" s="25">
        <v>22.2607</v>
      </c>
      <c r="I10" s="25"/>
      <c r="J10" s="25">
        <v>1.28</v>
      </c>
      <c r="K10" s="25">
        <v>4.09</v>
      </c>
      <c r="L10" s="25">
        <v>29.002300000000002</v>
      </c>
      <c r="M10" s="25">
        <v>42.311599999999999</v>
      </c>
      <c r="N10" s="25">
        <v>19.3705</v>
      </c>
      <c r="O10" s="25">
        <v>27.582000000000001</v>
      </c>
      <c r="P10" s="25">
        <v>22.264800000000001</v>
      </c>
      <c r="Q10" s="25">
        <v>13.757</v>
      </c>
      <c r="R10" s="25">
        <v>37.390799999999999</v>
      </c>
      <c r="S10" s="25">
        <v>28.750699999999998</v>
      </c>
      <c r="T10"/>
      <c r="U10"/>
    </row>
    <row r="11" spans="1:70" outlineLevel="1" x14ac:dyDescent="0.25">
      <c r="B11" t="s">
        <v>8</v>
      </c>
      <c r="C11" t="s">
        <v>73</v>
      </c>
      <c r="D11" t="s">
        <v>24</v>
      </c>
      <c r="E11" s="25">
        <v>3</v>
      </c>
      <c r="F11" s="25">
        <v>0</v>
      </c>
      <c r="G11" s="25">
        <v>3.1608999999999998</v>
      </c>
      <c r="H11" s="25"/>
      <c r="I11" s="25"/>
      <c r="J11" s="25"/>
      <c r="K11" s="25">
        <v>0.49</v>
      </c>
      <c r="L11" s="25"/>
      <c r="M11" s="25"/>
      <c r="N11" s="25">
        <v>2.8744999999999998</v>
      </c>
      <c r="O11" s="25">
        <v>3.9262000000000001</v>
      </c>
      <c r="P11" s="25">
        <v>3.1048</v>
      </c>
      <c r="Q11" s="25"/>
      <c r="R11" s="25"/>
      <c r="S11" s="25"/>
      <c r="T11"/>
      <c r="U11"/>
    </row>
    <row r="12" spans="1:70" outlineLevel="1" x14ac:dyDescent="0.25">
      <c r="C12" t="s">
        <v>72</v>
      </c>
      <c r="D12" t="s">
        <v>24</v>
      </c>
      <c r="E12" s="25">
        <v>0</v>
      </c>
      <c r="F12" s="25">
        <v>0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/>
      <c r="U12"/>
    </row>
    <row r="13" spans="1:70" outlineLevel="1" x14ac:dyDescent="0.25">
      <c r="C13" t="s">
        <v>75</v>
      </c>
      <c r="D13" t="s">
        <v>24</v>
      </c>
      <c r="E13" s="25">
        <v>0</v>
      </c>
      <c r="F13" s="25">
        <v>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/>
      <c r="U13"/>
    </row>
    <row r="14" spans="1:70" outlineLevel="1" x14ac:dyDescent="0.25">
      <c r="B14" t="s">
        <v>25</v>
      </c>
      <c r="C14" t="s">
        <v>76</v>
      </c>
      <c r="D14" t="s">
        <v>24</v>
      </c>
      <c r="E14" s="25">
        <v>4</v>
      </c>
      <c r="F14" s="25">
        <v>5</v>
      </c>
      <c r="G14" s="25">
        <v>6.0846</v>
      </c>
      <c r="H14" s="25"/>
      <c r="I14" s="25"/>
      <c r="J14" s="25">
        <v>0.51</v>
      </c>
      <c r="K14" s="25">
        <v>0.69</v>
      </c>
      <c r="L14" s="25"/>
      <c r="M14" s="25"/>
      <c r="N14" s="25">
        <v>4.1081000000000003</v>
      </c>
      <c r="O14" s="25">
        <v>8.5922000000000001</v>
      </c>
      <c r="P14" s="25"/>
      <c r="Q14" s="25"/>
      <c r="R14" s="25"/>
      <c r="S14" s="25"/>
      <c r="T14"/>
      <c r="U14"/>
    </row>
    <row r="15" spans="1:70" outlineLevel="1" x14ac:dyDescent="0.25">
      <c r="B15" t="s">
        <v>7</v>
      </c>
      <c r="C15" t="s">
        <v>74</v>
      </c>
      <c r="D15" t="s">
        <v>24</v>
      </c>
      <c r="E15" s="25">
        <v>4</v>
      </c>
      <c r="F15" s="25">
        <v>5</v>
      </c>
      <c r="G15" s="25">
        <v>7.2179000000000002</v>
      </c>
      <c r="H15" s="25">
        <v>23.224499999999999</v>
      </c>
      <c r="I15" s="25"/>
      <c r="J15" s="25">
        <v>0.55000000000000004</v>
      </c>
      <c r="K15" s="25">
        <v>0.55000000000000004</v>
      </c>
      <c r="L15" s="25"/>
      <c r="M15" s="25"/>
      <c r="N15" s="25">
        <v>5.3556999999999997</v>
      </c>
      <c r="O15" s="25">
        <v>5.9741</v>
      </c>
      <c r="P15" s="25">
        <v>6.0567000000000002</v>
      </c>
      <c r="Q15" s="25"/>
      <c r="R15" s="25"/>
      <c r="S15" s="25"/>
      <c r="T15"/>
      <c r="U15"/>
    </row>
    <row r="16" spans="1:70" outlineLevel="1" x14ac:dyDescent="0.25">
      <c r="B16" t="s">
        <v>55</v>
      </c>
      <c r="C16" t="s">
        <v>77</v>
      </c>
      <c r="D16" t="s">
        <v>24</v>
      </c>
      <c r="E16" s="25">
        <v>3</v>
      </c>
      <c r="F16" s="25">
        <v>3</v>
      </c>
      <c r="G16" s="25">
        <v>2.9481999999999999</v>
      </c>
      <c r="H16" s="25"/>
      <c r="I16" s="25"/>
      <c r="J16" s="25">
        <v>0.34</v>
      </c>
      <c r="K16" s="25">
        <v>0.48</v>
      </c>
      <c r="L16" s="25"/>
      <c r="M16" s="25"/>
      <c r="N16" s="25">
        <v>2.9771000000000001</v>
      </c>
      <c r="O16" s="25">
        <v>3.6899000000000002</v>
      </c>
      <c r="P16" s="25">
        <v>2.9649999999999999</v>
      </c>
      <c r="Q16" s="25"/>
      <c r="R16" s="25"/>
      <c r="S16" s="25"/>
      <c r="T16"/>
      <c r="U16"/>
    </row>
    <row r="17" spans="1:21" outlineLevel="1" x14ac:dyDescent="0.25">
      <c r="B17" t="s">
        <v>26</v>
      </c>
      <c r="C17" t="s">
        <v>142</v>
      </c>
      <c r="D17" t="s">
        <v>24</v>
      </c>
      <c r="E17" s="25"/>
      <c r="F17" s="25"/>
      <c r="G17" s="25">
        <v>1.1900000000000001E-2</v>
      </c>
      <c r="H17" s="25"/>
      <c r="I17" s="25"/>
      <c r="J17" s="25"/>
      <c r="K17" s="25">
        <v>0.1</v>
      </c>
      <c r="L17" s="25"/>
      <c r="M17" s="25"/>
      <c r="N17" s="25"/>
      <c r="O17" s="25"/>
      <c r="P17" s="25"/>
      <c r="Q17" s="25"/>
      <c r="R17" s="25"/>
      <c r="S17" s="25"/>
      <c r="T17"/>
      <c r="U17"/>
    </row>
    <row r="18" spans="1:21" outlineLevel="1" x14ac:dyDescent="0.25">
      <c r="C18" t="s">
        <v>143</v>
      </c>
      <c r="D18" t="s">
        <v>34</v>
      </c>
      <c r="E18" s="25"/>
      <c r="F18" s="25"/>
      <c r="G18" s="25">
        <v>1.0912999999999999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/>
      <c r="U18"/>
    </row>
    <row r="19" spans="1:21" outlineLevel="1" x14ac:dyDescent="0.25">
      <c r="C19" t="s">
        <v>144</v>
      </c>
      <c r="D19" t="s">
        <v>34</v>
      </c>
      <c r="E19" s="25"/>
      <c r="F19" s="25"/>
      <c r="G19" s="25">
        <v>1.6449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/>
      <c r="U19"/>
    </row>
    <row r="20" spans="1:21" outlineLevel="1" x14ac:dyDescent="0.25">
      <c r="C20" t="s">
        <v>145</v>
      </c>
      <c r="D20" t="s">
        <v>34</v>
      </c>
      <c r="E20" s="25"/>
      <c r="F20" s="25"/>
      <c r="G20" s="25">
        <v>2.1564000000000001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/>
      <c r="U20"/>
    </row>
    <row r="21" spans="1:21" outlineLevel="1" x14ac:dyDescent="0.25">
      <c r="C21" t="s">
        <v>26</v>
      </c>
      <c r="D21" t="s">
        <v>24</v>
      </c>
      <c r="E21" s="25">
        <v>0</v>
      </c>
      <c r="F21" s="25">
        <v>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/>
      <c r="U21"/>
    </row>
    <row r="22" spans="1:21" outlineLevel="1" x14ac:dyDescent="0.25">
      <c r="C22" t="s">
        <v>146</v>
      </c>
      <c r="D22" t="s">
        <v>34</v>
      </c>
      <c r="E22" s="25"/>
      <c r="F22" s="25"/>
      <c r="G22" s="25">
        <v>2.1772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/>
      <c r="U22"/>
    </row>
    <row r="23" spans="1:21" x14ac:dyDescent="0.25">
      <c r="A23" t="s">
        <v>96</v>
      </c>
      <c r="E23" s="25">
        <v>45</v>
      </c>
      <c r="F23" s="25">
        <v>38</v>
      </c>
      <c r="G23" s="25">
        <v>42.321699999999993</v>
      </c>
      <c r="H23" s="25">
        <v>45.485199999999999</v>
      </c>
      <c r="I23" s="25"/>
      <c r="J23" s="25">
        <v>2.6799999999999997</v>
      </c>
      <c r="K23" s="25">
        <v>6.3999999999999986</v>
      </c>
      <c r="L23" s="25">
        <v>29.002300000000002</v>
      </c>
      <c r="M23" s="25">
        <v>42.311599999999999</v>
      </c>
      <c r="N23" s="25">
        <v>34.685900000000004</v>
      </c>
      <c r="O23" s="25">
        <v>49.764400000000002</v>
      </c>
      <c r="P23" s="25">
        <v>34.391300000000001</v>
      </c>
      <c r="Q23" s="25">
        <v>13.757</v>
      </c>
      <c r="R23" s="25">
        <v>37.390799999999999</v>
      </c>
      <c r="S23" s="25">
        <v>28.750699999999998</v>
      </c>
      <c r="T23"/>
      <c r="U23"/>
    </row>
    <row r="24" spans="1:21" outlineLevel="1" x14ac:dyDescent="0.25">
      <c r="A24" t="s">
        <v>2</v>
      </c>
      <c r="B24" t="s">
        <v>19</v>
      </c>
      <c r="C24" t="s">
        <v>65</v>
      </c>
      <c r="D24" t="s">
        <v>24</v>
      </c>
      <c r="E24" s="25">
        <v>22</v>
      </c>
      <c r="F24" s="25">
        <v>16</v>
      </c>
      <c r="G24" s="25">
        <v>15.040800000000001</v>
      </c>
      <c r="H24" s="25"/>
      <c r="I24" s="25"/>
      <c r="J24" s="25">
        <v>0.87</v>
      </c>
      <c r="K24" s="25">
        <v>2.79</v>
      </c>
      <c r="L24" s="25">
        <v>25.466699999999999</v>
      </c>
      <c r="M24" s="25">
        <v>22.445</v>
      </c>
      <c r="N24" s="25">
        <v>21.185600000000001</v>
      </c>
      <c r="O24" s="25">
        <v>21.755400000000002</v>
      </c>
      <c r="P24" s="25">
        <v>20.948699999999999</v>
      </c>
      <c r="Q24" s="25"/>
      <c r="R24" s="25">
        <v>5.2613000000000003</v>
      </c>
      <c r="S24" s="25">
        <v>25.383700000000001</v>
      </c>
      <c r="T24"/>
      <c r="U24"/>
    </row>
    <row r="25" spans="1:21" outlineLevel="1" x14ac:dyDescent="0.25">
      <c r="B25" t="s">
        <v>147</v>
      </c>
      <c r="C25" t="s">
        <v>148</v>
      </c>
      <c r="D25" t="s">
        <v>34</v>
      </c>
      <c r="E25" s="25"/>
      <c r="F25" s="25"/>
      <c r="G25" s="25"/>
      <c r="H25" s="25">
        <v>2.2774000000000001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/>
      <c r="U25"/>
    </row>
    <row r="26" spans="1:21" outlineLevel="1" x14ac:dyDescent="0.25">
      <c r="B26" t="s">
        <v>3</v>
      </c>
      <c r="C26" t="s">
        <v>66</v>
      </c>
      <c r="D26" t="s">
        <v>24</v>
      </c>
      <c r="E26" s="25">
        <v>0</v>
      </c>
      <c r="F26" s="25">
        <v>0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/>
      <c r="U26"/>
    </row>
    <row r="27" spans="1:21" outlineLevel="1" x14ac:dyDescent="0.25">
      <c r="C27" t="s">
        <v>149</v>
      </c>
      <c r="D27" t="s">
        <v>24</v>
      </c>
      <c r="E27" s="25"/>
      <c r="F27" s="25"/>
      <c r="G27" s="25"/>
      <c r="H27" s="25">
        <v>4.7706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/>
      <c r="U27"/>
    </row>
    <row r="28" spans="1:21" outlineLevel="1" x14ac:dyDescent="0.25">
      <c r="B28" t="s">
        <v>4</v>
      </c>
      <c r="C28" t="s">
        <v>150</v>
      </c>
      <c r="D28" t="s">
        <v>24</v>
      </c>
      <c r="E28" s="25"/>
      <c r="F28" s="25"/>
      <c r="G28" s="25">
        <v>0.72719999999999996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/>
      <c r="U28"/>
    </row>
    <row r="29" spans="1:21" outlineLevel="1" x14ac:dyDescent="0.25">
      <c r="C29" t="s">
        <v>67</v>
      </c>
      <c r="D29" t="s">
        <v>24</v>
      </c>
      <c r="E29" s="25">
        <v>2</v>
      </c>
      <c r="F29" s="25">
        <v>0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/>
      <c r="U29"/>
    </row>
    <row r="30" spans="1:21" outlineLevel="1" x14ac:dyDescent="0.25">
      <c r="B30" t="s">
        <v>5</v>
      </c>
      <c r="C30" t="s">
        <v>69</v>
      </c>
      <c r="D30" t="s">
        <v>24</v>
      </c>
      <c r="E30" s="25">
        <v>0</v>
      </c>
      <c r="F30" s="25">
        <v>0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/>
      <c r="U30"/>
    </row>
    <row r="31" spans="1:21" outlineLevel="1" x14ac:dyDescent="0.25">
      <c r="C31" t="s">
        <v>151</v>
      </c>
      <c r="D31" t="s">
        <v>36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>
        <v>0.79330000000000001</v>
      </c>
      <c r="P31" s="25"/>
      <c r="Q31" s="25"/>
      <c r="R31" s="25"/>
      <c r="S31" s="25"/>
      <c r="T31"/>
      <c r="U31"/>
    </row>
    <row r="32" spans="1:21" outlineLevel="1" x14ac:dyDescent="0.25">
      <c r="B32" t="s">
        <v>56</v>
      </c>
      <c r="C32" t="s">
        <v>68</v>
      </c>
      <c r="D32" t="s">
        <v>34</v>
      </c>
      <c r="E32" s="25">
        <v>3</v>
      </c>
      <c r="F32" s="25">
        <v>3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/>
      <c r="U32"/>
    </row>
    <row r="33" spans="1:21" outlineLevel="1" x14ac:dyDescent="0.25">
      <c r="B33" t="s">
        <v>20</v>
      </c>
      <c r="C33" t="s">
        <v>70</v>
      </c>
      <c r="D33" t="s">
        <v>24</v>
      </c>
      <c r="E33" s="25">
        <v>2</v>
      </c>
      <c r="F33" s="25">
        <v>2</v>
      </c>
      <c r="G33" s="25">
        <v>1.9073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/>
      <c r="U33"/>
    </row>
    <row r="34" spans="1:21" outlineLevel="1" x14ac:dyDescent="0.25">
      <c r="B34" t="s">
        <v>21</v>
      </c>
      <c r="E34" s="25">
        <v>0</v>
      </c>
      <c r="F34" s="25">
        <v>0</v>
      </c>
      <c r="G34" s="25"/>
      <c r="H34" s="25"/>
      <c r="I34" s="25"/>
      <c r="J34" s="25">
        <v>2.44</v>
      </c>
      <c r="K34" s="25"/>
      <c r="L34" s="25">
        <v>18.310600000000001</v>
      </c>
      <c r="M34" s="25">
        <v>14.7347</v>
      </c>
      <c r="N34" s="25"/>
      <c r="O34" s="25"/>
      <c r="P34" s="25"/>
      <c r="Q34" s="25">
        <v>79.214100000000002</v>
      </c>
      <c r="R34" s="25">
        <v>52.905500000000004</v>
      </c>
      <c r="S34" s="25"/>
      <c r="T34"/>
      <c r="U34"/>
    </row>
    <row r="35" spans="1:21" x14ac:dyDescent="0.25">
      <c r="A35" t="s">
        <v>95</v>
      </c>
      <c r="E35" s="25">
        <v>29</v>
      </c>
      <c r="F35" s="25">
        <v>21</v>
      </c>
      <c r="G35" s="25">
        <v>17.6753</v>
      </c>
      <c r="H35" s="25">
        <v>7.048</v>
      </c>
      <c r="I35" s="25"/>
      <c r="J35" s="25">
        <v>3.31</v>
      </c>
      <c r="K35" s="25">
        <v>2.79</v>
      </c>
      <c r="L35" s="25">
        <v>43.777299999999997</v>
      </c>
      <c r="M35" s="25">
        <v>37.179699999999997</v>
      </c>
      <c r="N35" s="25">
        <v>21.185600000000001</v>
      </c>
      <c r="O35" s="25">
        <v>22.5487</v>
      </c>
      <c r="P35" s="25">
        <v>20.948699999999999</v>
      </c>
      <c r="Q35" s="25">
        <v>79.214100000000002</v>
      </c>
      <c r="R35" s="25">
        <v>58.166800000000002</v>
      </c>
      <c r="S35" s="25">
        <v>25.383700000000001</v>
      </c>
      <c r="T35"/>
      <c r="U35"/>
    </row>
    <row r="36" spans="1:21" x14ac:dyDescent="0.25">
      <c r="A36" t="s">
        <v>9</v>
      </c>
      <c r="B36" t="s">
        <v>28</v>
      </c>
      <c r="C36" t="s">
        <v>152</v>
      </c>
      <c r="D36" t="s">
        <v>24</v>
      </c>
      <c r="E36" s="25"/>
      <c r="F36" s="25"/>
      <c r="G36" s="25"/>
      <c r="H36" s="25"/>
      <c r="I36" s="25">
        <v>15.7904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/>
      <c r="U36"/>
    </row>
    <row r="37" spans="1:21" outlineLevel="1" x14ac:dyDescent="0.25">
      <c r="C37" t="s">
        <v>153</v>
      </c>
      <c r="D37" t="s">
        <v>34</v>
      </c>
      <c r="E37" s="25"/>
      <c r="F37" s="25"/>
      <c r="G37" s="25"/>
      <c r="H37" s="25"/>
      <c r="I37" s="25">
        <v>3.3405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/>
      <c r="U37"/>
    </row>
    <row r="38" spans="1:21" outlineLevel="1" x14ac:dyDescent="0.25">
      <c r="C38" t="s">
        <v>83</v>
      </c>
      <c r="D38" t="s">
        <v>24</v>
      </c>
      <c r="E38" s="25">
        <v>5</v>
      </c>
      <c r="F38" s="25">
        <v>5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/>
      <c r="U38"/>
    </row>
    <row r="39" spans="1:21" outlineLevel="1" x14ac:dyDescent="0.25">
      <c r="C39" t="s">
        <v>154</v>
      </c>
      <c r="D39" t="s">
        <v>33</v>
      </c>
      <c r="E39" s="25"/>
      <c r="F39" s="25"/>
      <c r="G39" s="25"/>
      <c r="H39" s="25"/>
      <c r="I39" s="25">
        <v>0.70130000000000003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/>
      <c r="U39"/>
    </row>
    <row r="40" spans="1:21" outlineLevel="1" x14ac:dyDescent="0.25">
      <c r="C40" t="s">
        <v>155</v>
      </c>
      <c r="D40" t="s">
        <v>33</v>
      </c>
      <c r="E40" s="25"/>
      <c r="F40" s="25"/>
      <c r="G40" s="25"/>
      <c r="H40" s="25"/>
      <c r="I40" s="25">
        <v>57.479199999999999</v>
      </c>
      <c r="J40" s="25">
        <v>0.65</v>
      </c>
      <c r="K40" s="25"/>
      <c r="L40" s="25"/>
      <c r="M40" s="25"/>
      <c r="N40" s="25"/>
      <c r="O40" s="25"/>
      <c r="P40" s="25"/>
      <c r="Q40" s="25"/>
      <c r="R40" s="25"/>
      <c r="S40" s="25"/>
      <c r="T40"/>
      <c r="U40"/>
    </row>
    <row r="41" spans="1:21" outlineLevel="1" x14ac:dyDescent="0.25">
      <c r="B41" t="s">
        <v>10</v>
      </c>
      <c r="C41" t="s">
        <v>82</v>
      </c>
      <c r="D41" t="s">
        <v>24</v>
      </c>
      <c r="E41" s="25">
        <v>4</v>
      </c>
      <c r="F41" s="25">
        <v>4</v>
      </c>
      <c r="G41" s="25">
        <v>2.9839000000000002</v>
      </c>
      <c r="H41" s="25"/>
      <c r="I41" s="25"/>
      <c r="J41" s="25"/>
      <c r="K41" s="25"/>
      <c r="L41" s="25"/>
      <c r="M41" s="25"/>
      <c r="N41" s="25">
        <v>3.0131000000000001</v>
      </c>
      <c r="O41" s="25">
        <v>2.9876</v>
      </c>
      <c r="P41" s="25">
        <v>3.0007999999999999</v>
      </c>
      <c r="Q41" s="25"/>
      <c r="R41" s="25"/>
      <c r="S41" s="25"/>
      <c r="T41"/>
      <c r="U41"/>
    </row>
    <row r="42" spans="1:21" outlineLevel="1" x14ac:dyDescent="0.25">
      <c r="C42" t="s">
        <v>81</v>
      </c>
      <c r="D42" t="s">
        <v>24</v>
      </c>
      <c r="E42" s="25">
        <v>3</v>
      </c>
      <c r="F42" s="25">
        <v>3</v>
      </c>
      <c r="G42" s="25">
        <v>4.1163999999999996</v>
      </c>
      <c r="H42" s="25"/>
      <c r="I42" s="25"/>
      <c r="J42" s="25"/>
      <c r="K42" s="25"/>
      <c r="L42" s="25"/>
      <c r="M42" s="25"/>
      <c r="N42" s="25">
        <v>3.7113999999999998</v>
      </c>
      <c r="O42" s="25">
        <v>5.0599999999999996</v>
      </c>
      <c r="P42" s="25">
        <v>3.9357000000000002</v>
      </c>
      <c r="Q42" s="25"/>
      <c r="R42" s="25"/>
      <c r="S42" s="25"/>
      <c r="T42"/>
      <c r="U42"/>
    </row>
    <row r="43" spans="1:21" outlineLevel="1" x14ac:dyDescent="0.25">
      <c r="C43" t="s">
        <v>156</v>
      </c>
      <c r="D43" t="s">
        <v>24</v>
      </c>
      <c r="E43" s="25"/>
      <c r="F43" s="25"/>
      <c r="G43" s="25"/>
      <c r="H43" s="25"/>
      <c r="I43" s="25"/>
      <c r="J43" s="25">
        <v>0.48</v>
      </c>
      <c r="K43" s="25">
        <v>0.61</v>
      </c>
      <c r="L43" s="25"/>
      <c r="M43" s="25"/>
      <c r="N43" s="25"/>
      <c r="O43" s="25"/>
      <c r="P43" s="25"/>
      <c r="Q43" s="25"/>
      <c r="R43" s="25"/>
      <c r="S43" s="25"/>
      <c r="T43"/>
      <c r="U43"/>
    </row>
    <row r="44" spans="1:21" outlineLevel="1" x14ac:dyDescent="0.25">
      <c r="B44" t="s">
        <v>27</v>
      </c>
      <c r="C44" t="s">
        <v>79</v>
      </c>
      <c r="D44" t="s">
        <v>24</v>
      </c>
      <c r="E44" s="25">
        <v>3</v>
      </c>
      <c r="F44" s="25">
        <v>3</v>
      </c>
      <c r="G44" s="25">
        <v>4.6383999999999999</v>
      </c>
      <c r="H44" s="25"/>
      <c r="I44" s="25"/>
      <c r="J44" s="25"/>
      <c r="K44" s="25">
        <v>0.63</v>
      </c>
      <c r="L44" s="25"/>
      <c r="M44" s="25"/>
      <c r="N44" s="25">
        <v>4.0106999999999999</v>
      </c>
      <c r="O44" s="25">
        <v>4.2478999999999996</v>
      </c>
      <c r="P44" s="25">
        <v>3.3233999999999999</v>
      </c>
      <c r="Q44" s="25"/>
      <c r="R44" s="25"/>
      <c r="S44" s="25"/>
      <c r="T44"/>
      <c r="U44"/>
    </row>
    <row r="45" spans="1:21" outlineLevel="1" x14ac:dyDescent="0.25">
      <c r="C45" t="s">
        <v>78</v>
      </c>
      <c r="D45" t="s">
        <v>24</v>
      </c>
      <c r="E45" s="25">
        <v>3</v>
      </c>
      <c r="F45" s="25">
        <v>3</v>
      </c>
      <c r="G45" s="25">
        <v>3.9180000000000001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/>
      <c r="U45"/>
    </row>
    <row r="46" spans="1:21" outlineLevel="1" x14ac:dyDescent="0.25">
      <c r="B46" t="s">
        <v>23</v>
      </c>
      <c r="C46" t="s">
        <v>80</v>
      </c>
      <c r="D46" t="s">
        <v>24</v>
      </c>
      <c r="E46" s="25">
        <v>3</v>
      </c>
      <c r="F46" s="25">
        <v>3</v>
      </c>
      <c r="G46" s="25">
        <v>3.1394000000000002</v>
      </c>
      <c r="H46" s="25"/>
      <c r="I46" s="25">
        <v>3.2757000000000001</v>
      </c>
      <c r="J46" s="25">
        <v>0.66</v>
      </c>
      <c r="K46" s="25">
        <v>0.65</v>
      </c>
      <c r="L46" s="25"/>
      <c r="M46" s="25"/>
      <c r="N46" s="25">
        <v>5.3136999999999999</v>
      </c>
      <c r="O46" s="25"/>
      <c r="P46" s="25">
        <v>4.4635999999999996</v>
      </c>
      <c r="Q46" s="25"/>
      <c r="R46" s="25"/>
      <c r="S46" s="25"/>
      <c r="T46"/>
      <c r="U46"/>
    </row>
    <row r="47" spans="1:21" outlineLevel="1" x14ac:dyDescent="0.25">
      <c r="B47" t="s">
        <v>94</v>
      </c>
      <c r="C47" t="s">
        <v>157</v>
      </c>
      <c r="D47" t="s">
        <v>24</v>
      </c>
      <c r="E47" s="25"/>
      <c r="F47" s="25"/>
      <c r="G47" s="25"/>
      <c r="H47" s="25"/>
      <c r="I47" s="25"/>
      <c r="J47" s="25">
        <v>0.05</v>
      </c>
      <c r="K47" s="25"/>
      <c r="L47" s="25">
        <v>0.22389999999999999</v>
      </c>
      <c r="M47" s="25">
        <v>0.18010000000000001</v>
      </c>
      <c r="N47" s="25"/>
      <c r="O47" s="25"/>
      <c r="P47" s="25"/>
      <c r="Q47" s="25">
        <v>0.25790000000000002</v>
      </c>
      <c r="R47" s="25"/>
      <c r="S47" s="25">
        <v>0.20369999999999999</v>
      </c>
      <c r="T47"/>
      <c r="U47"/>
    </row>
    <row r="48" spans="1:21" outlineLevel="1" x14ac:dyDescent="0.25">
      <c r="C48" t="s">
        <v>158</v>
      </c>
      <c r="D48" t="s">
        <v>24</v>
      </c>
      <c r="E48" s="25"/>
      <c r="F48" s="25"/>
      <c r="G48" s="25"/>
      <c r="H48" s="25"/>
      <c r="I48" s="25"/>
      <c r="J48" s="25">
        <v>0.04</v>
      </c>
      <c r="K48" s="25"/>
      <c r="L48" s="25">
        <v>0.46400000000000002</v>
      </c>
      <c r="M48" s="25">
        <v>0.37330000000000002</v>
      </c>
      <c r="N48" s="25"/>
      <c r="O48" s="25">
        <v>0.39900000000000002</v>
      </c>
      <c r="P48" s="25"/>
      <c r="Q48" s="25">
        <v>0.39200000000000002</v>
      </c>
      <c r="R48" s="25">
        <v>0.5857</v>
      </c>
      <c r="S48" s="25">
        <v>0.42220000000000002</v>
      </c>
      <c r="T48"/>
      <c r="U48"/>
    </row>
    <row r="49" spans="1:21" outlineLevel="1" x14ac:dyDescent="0.25">
      <c r="C49" t="s">
        <v>159</v>
      </c>
      <c r="D49" t="s">
        <v>24</v>
      </c>
      <c r="E49" s="25"/>
      <c r="F49" s="25"/>
      <c r="G49" s="25"/>
      <c r="H49" s="25"/>
      <c r="I49" s="25"/>
      <c r="J49" s="25">
        <v>0.01</v>
      </c>
      <c r="K49" s="25"/>
      <c r="L49" s="25">
        <v>3.4599999999999999E-2</v>
      </c>
      <c r="M49" s="25">
        <v>2.7799999999999998E-2</v>
      </c>
      <c r="N49" s="25"/>
      <c r="O49" s="25">
        <v>3.5900000000000001E-2</v>
      </c>
      <c r="P49" s="25"/>
      <c r="Q49" s="25">
        <v>1.3299999999999999E-2</v>
      </c>
      <c r="R49" s="25"/>
      <c r="S49" s="25">
        <v>3.15E-2</v>
      </c>
      <c r="T49"/>
      <c r="U49"/>
    </row>
    <row r="50" spans="1:21" outlineLevel="1" x14ac:dyDescent="0.25">
      <c r="C50" t="s">
        <v>106</v>
      </c>
      <c r="D50" t="s">
        <v>24</v>
      </c>
      <c r="E50" s="25"/>
      <c r="F50" s="25"/>
      <c r="G50" s="25"/>
      <c r="H50" s="25"/>
      <c r="I50" s="25"/>
      <c r="J50" s="25"/>
      <c r="K50" s="25"/>
      <c r="L50" s="25">
        <v>8.5000000000000006E-3</v>
      </c>
      <c r="M50" s="25">
        <v>6.7999999999999996E-3</v>
      </c>
      <c r="N50" s="25">
        <v>1.1000000000000001E-3</v>
      </c>
      <c r="O50" s="25">
        <v>7.6E-3</v>
      </c>
      <c r="P50" s="25">
        <v>1.1999999999999999E-3</v>
      </c>
      <c r="Q50" s="25">
        <v>5.8999999999999999E-3</v>
      </c>
      <c r="R50" s="25"/>
      <c r="S50" s="25">
        <v>7.7000000000000002E-3</v>
      </c>
      <c r="T50"/>
      <c r="U50"/>
    </row>
    <row r="51" spans="1:21" outlineLevel="1" x14ac:dyDescent="0.25">
      <c r="B51" t="s">
        <v>29</v>
      </c>
      <c r="C51" t="s">
        <v>29</v>
      </c>
      <c r="D51" t="s">
        <v>24</v>
      </c>
      <c r="E51" s="25">
        <v>0</v>
      </c>
      <c r="F51" s="25">
        <v>0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/>
      <c r="U51"/>
    </row>
    <row r="52" spans="1:21" x14ac:dyDescent="0.25">
      <c r="A52" t="s">
        <v>93</v>
      </c>
      <c r="E52" s="25">
        <v>21</v>
      </c>
      <c r="F52" s="25">
        <v>21</v>
      </c>
      <c r="G52" s="25">
        <v>18.796100000000003</v>
      </c>
      <c r="H52" s="25"/>
      <c r="I52" s="25">
        <v>80.587099999999992</v>
      </c>
      <c r="J52" s="25">
        <v>1.8900000000000001</v>
      </c>
      <c r="K52" s="25">
        <v>1.8900000000000001</v>
      </c>
      <c r="L52" s="25">
        <v>0.73099999999999987</v>
      </c>
      <c r="M52" s="25">
        <v>0.58800000000000008</v>
      </c>
      <c r="N52" s="25">
        <v>16.05</v>
      </c>
      <c r="O52" s="25">
        <v>12.737999999999998</v>
      </c>
      <c r="P52" s="25">
        <v>14.7247</v>
      </c>
      <c r="Q52" s="25">
        <v>0.66910000000000003</v>
      </c>
      <c r="R52" s="25">
        <v>0.5857</v>
      </c>
      <c r="S52" s="25">
        <v>0.66510000000000002</v>
      </c>
      <c r="T52"/>
      <c r="U52"/>
    </row>
    <row r="53" spans="1:21" x14ac:dyDescent="0.25">
      <c r="A53" t="s">
        <v>31</v>
      </c>
      <c r="B53" t="s">
        <v>103</v>
      </c>
      <c r="C53" t="s">
        <v>103</v>
      </c>
      <c r="E53" s="25">
        <v>3</v>
      </c>
      <c r="F53" s="25">
        <v>3</v>
      </c>
      <c r="G53" s="25">
        <v>7.0697999999999999</v>
      </c>
      <c r="H53" s="25">
        <v>2.2774000000000001</v>
      </c>
      <c r="I53" s="25">
        <v>61.521000000000001</v>
      </c>
      <c r="J53" s="25">
        <v>1.1000000000000001</v>
      </c>
      <c r="K53" s="25"/>
      <c r="L53" s="25">
        <v>18.310600000000001</v>
      </c>
      <c r="M53" s="25">
        <v>14.7347</v>
      </c>
      <c r="N53" s="25"/>
      <c r="O53" s="25">
        <v>0.79330000000000001</v>
      </c>
      <c r="P53" s="25"/>
      <c r="Q53" s="25">
        <v>79.214100000000002</v>
      </c>
      <c r="R53" s="25">
        <v>52.905500000000004</v>
      </c>
      <c r="S53" s="25"/>
      <c r="T53"/>
      <c r="U53"/>
    </row>
    <row r="54" spans="1:21" x14ac:dyDescent="0.25">
      <c r="A54" t="s">
        <v>92</v>
      </c>
      <c r="E54" s="25">
        <v>3</v>
      </c>
      <c r="F54" s="25">
        <v>3</v>
      </c>
      <c r="G54" s="25">
        <v>7.0697999999999999</v>
      </c>
      <c r="H54" s="25">
        <v>2.2774000000000001</v>
      </c>
      <c r="I54" s="25">
        <v>61.521000000000001</v>
      </c>
      <c r="J54" s="25">
        <v>1.1000000000000001</v>
      </c>
      <c r="K54" s="25"/>
      <c r="L54" s="25">
        <v>18.310600000000001</v>
      </c>
      <c r="M54" s="25">
        <v>14.7347</v>
      </c>
      <c r="N54" s="25"/>
      <c r="O54" s="25">
        <v>0.79330000000000001</v>
      </c>
      <c r="P54" s="25"/>
      <c r="Q54" s="25">
        <v>79.214100000000002</v>
      </c>
      <c r="R54" s="25">
        <v>52.905500000000004</v>
      </c>
      <c r="S54" s="25"/>
      <c r="T54"/>
      <c r="U54"/>
    </row>
    <row r="55" spans="1:21" x14ac:dyDescent="0.25">
      <c r="A55" t="s">
        <v>104</v>
      </c>
      <c r="B55" t="s">
        <v>91</v>
      </c>
      <c r="C55" t="s">
        <v>104</v>
      </c>
      <c r="D55" t="s">
        <v>34</v>
      </c>
      <c r="E55" s="25">
        <v>0</v>
      </c>
      <c r="F55" s="25">
        <v>0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/>
      <c r="U55"/>
    </row>
    <row r="56" spans="1:21" x14ac:dyDescent="0.25">
      <c r="A56" t="s">
        <v>105</v>
      </c>
      <c r="E56" s="25">
        <v>0</v>
      </c>
      <c r="F56" s="25">
        <v>0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/>
      <c r="U56"/>
    </row>
    <row r="57" spans="1:21" x14ac:dyDescent="0.25"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5"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5"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5"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5"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5"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</sheetData>
  <conditionalFormatting sqref="G1:AB7 G78:AB1048576">
    <cfRule type="expression" dxfId="0" priority="1">
      <formula>OR(G1&gt;F1*1.1,G1&lt;F1*0.9)</formula>
    </cfRule>
  </conditionalFormatting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D003-660E-4935-8729-975A5820EBDB}">
  <sheetPr>
    <pageSetUpPr fitToPage="1"/>
  </sheetPr>
  <dimension ref="A1:G11"/>
  <sheetViews>
    <sheetView showGridLines="0" tabSelected="1" zoomScale="130" zoomScaleNormal="130" workbookViewId="0">
      <selection sqref="A1:D11"/>
    </sheetView>
  </sheetViews>
  <sheetFormatPr defaultRowHeight="15" x14ac:dyDescent="0.25"/>
  <cols>
    <col min="1" max="1" width="11.85546875" bestFit="1" customWidth="1"/>
    <col min="2" max="2" width="7.5703125" customWidth="1"/>
    <col min="3" max="4" width="9.5703125" style="51" customWidth="1"/>
    <col min="7" max="7" width="18.28515625" style="79" customWidth="1"/>
    <col min="8" max="8" width="6.28515625" bestFit="1" customWidth="1"/>
    <col min="9" max="9" width="9.28515625" bestFit="1" customWidth="1"/>
    <col min="10" max="10" width="9.28515625" customWidth="1"/>
    <col min="11" max="13" width="9.28515625" bestFit="1" customWidth="1"/>
    <col min="14" max="15" width="9" bestFit="1" customWidth="1"/>
    <col min="16" max="16" width="7.28515625" bestFit="1" customWidth="1"/>
    <col min="17" max="17" width="9.28515625" bestFit="1" customWidth="1"/>
    <col min="18" max="18" width="9.7109375" bestFit="1" customWidth="1"/>
    <col min="19" max="19" width="8.28515625" bestFit="1" customWidth="1"/>
    <col min="20" max="20" width="10.7109375" bestFit="1" customWidth="1"/>
    <col min="21" max="22" width="9" bestFit="1" customWidth="1"/>
    <col min="23" max="23" width="10.7109375" bestFit="1" customWidth="1"/>
    <col min="24" max="24" width="7" bestFit="1" customWidth="1"/>
  </cols>
  <sheetData>
    <row r="1" spans="1:5" ht="27.75" customHeight="1" x14ac:dyDescent="0.25">
      <c r="A1" s="138" t="s">
        <v>195</v>
      </c>
      <c r="B1" s="138"/>
      <c r="C1" s="139" t="s">
        <v>14</v>
      </c>
      <c r="D1" s="139"/>
    </row>
    <row r="2" spans="1:5" x14ac:dyDescent="0.25">
      <c r="A2" s="117" t="s">
        <v>37</v>
      </c>
      <c r="B2" s="117" t="s">
        <v>115</v>
      </c>
      <c r="C2" s="118" t="s">
        <v>12</v>
      </c>
      <c r="D2" s="119" t="s">
        <v>11</v>
      </c>
    </row>
    <row r="3" spans="1:5" x14ac:dyDescent="0.25">
      <c r="A3" s="117" t="s">
        <v>0</v>
      </c>
      <c r="B3" s="117" t="s">
        <v>24</v>
      </c>
      <c r="C3" s="120">
        <v>3</v>
      </c>
      <c r="D3" s="121">
        <v>6</v>
      </c>
    </row>
    <row r="4" spans="1:5" x14ac:dyDescent="0.25">
      <c r="A4" s="117" t="s">
        <v>2</v>
      </c>
      <c r="B4" s="122"/>
      <c r="C4" s="120">
        <v>30</v>
      </c>
      <c r="D4" s="121">
        <v>30</v>
      </c>
    </row>
    <row r="5" spans="1:5" x14ac:dyDescent="0.25">
      <c r="A5" s="117" t="s">
        <v>6</v>
      </c>
      <c r="B5" s="117"/>
      <c r="C5" s="120">
        <v>44</v>
      </c>
      <c r="D5" s="121">
        <v>40</v>
      </c>
    </row>
    <row r="6" spans="1:5" x14ac:dyDescent="0.25">
      <c r="A6" s="117" t="s">
        <v>194</v>
      </c>
      <c r="B6" s="117"/>
      <c r="C6" s="120">
        <v>18</v>
      </c>
      <c r="D6" s="121">
        <v>20</v>
      </c>
    </row>
    <row r="7" spans="1:5" x14ac:dyDescent="0.25">
      <c r="A7" s="117" t="s">
        <v>199</v>
      </c>
      <c r="B7" s="117"/>
      <c r="C7" s="120">
        <v>5</v>
      </c>
      <c r="D7" s="121">
        <v>4</v>
      </c>
    </row>
    <row r="8" spans="1:5" x14ac:dyDescent="0.25">
      <c r="A8" s="117" t="s">
        <v>196</v>
      </c>
      <c r="B8" s="117"/>
      <c r="C8" s="123">
        <f>SUM(C3:C7)</f>
        <v>100</v>
      </c>
      <c r="D8" s="123">
        <f>SUM(D3:D7)</f>
        <v>100</v>
      </c>
    </row>
    <row r="10" spans="1:5" x14ac:dyDescent="0.25">
      <c r="A10" s="115" t="s">
        <v>197</v>
      </c>
      <c r="B10" s="115"/>
      <c r="C10" s="116"/>
      <c r="D10" s="116"/>
      <c r="E10" s="115"/>
    </row>
    <row r="11" spans="1:5" x14ac:dyDescent="0.25">
      <c r="A11" s="115" t="s">
        <v>198</v>
      </c>
      <c r="B11" s="115"/>
      <c r="C11" s="116"/>
      <c r="D11" s="116"/>
      <c r="E11" s="115"/>
    </row>
  </sheetData>
  <mergeCells count="1">
    <mergeCell ref="C1:D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EUR</vt:lpstr>
      <vt:lpstr>CHF</vt:lpstr>
      <vt:lpstr>USD</vt:lpstr>
      <vt:lpstr>GBP</vt:lpstr>
      <vt:lpstr>Allocations</vt:lpstr>
      <vt:lpstr>EUR (2)</vt:lpstr>
      <vt:lpstr>Allocations!color</vt:lpstr>
      <vt:lpstr>EUR!Print_Area</vt:lpstr>
      <vt:lpstr>'EUR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Peter D</cp:lastModifiedBy>
  <cp:lastPrinted>2020-03-10T07:00:05Z</cp:lastPrinted>
  <dcterms:created xsi:type="dcterms:W3CDTF">2019-10-24T10:07:57Z</dcterms:created>
  <dcterms:modified xsi:type="dcterms:W3CDTF">2023-07-14T13:55:47Z</dcterms:modified>
</cp:coreProperties>
</file>