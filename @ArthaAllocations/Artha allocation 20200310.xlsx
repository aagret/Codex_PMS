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M:\Asset Management\Allocations\"/>
    </mc:Choice>
  </mc:AlternateContent>
  <xr:revisionPtr revIDLastSave="0" documentId="8_{AE81F0F7-CEEA-4A8E-AB41-8C8C127FE15B}" xr6:coauthVersionLast="45" xr6:coauthVersionMax="45" xr10:uidLastSave="{00000000-0000-0000-0000-000000000000}"/>
  <bookViews>
    <workbookView xWindow="63075" yWindow="1005" windowWidth="43905" windowHeight="26430" tabRatio="393" xr2:uid="{00000000-000D-0000-FFFF-FFFF00000000}"/>
  </bookViews>
  <sheets>
    <sheet name="EUR" sheetId="1" r:id="rId1"/>
    <sheet name="CHF" sheetId="4" r:id="rId2"/>
    <sheet name="USD" sheetId="5" r:id="rId3"/>
    <sheet name="GBP" sheetId="6" r:id="rId4"/>
    <sheet name="Allocations" sheetId="7" r:id="rId5"/>
  </sheets>
  <definedNames>
    <definedName name="color" localSheetId="4">Allocations!$G:$AB</definedName>
    <definedName name="ExternalData_1" localSheetId="4" hidden="1">Allocations!#REF!</definedName>
    <definedName name="_xlnm.Print_Area" localSheetId="0">EUR!$A$1:$M$42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7" i="1" l="1"/>
  <c r="F17" i="1"/>
  <c r="F8" i="1"/>
  <c r="F5" i="1"/>
  <c r="M27" i="6" l="1"/>
  <c r="L27" i="6"/>
  <c r="K27" i="6"/>
  <c r="J27" i="6"/>
  <c r="I27" i="6"/>
  <c r="H27" i="6"/>
  <c r="G27" i="6"/>
  <c r="F27" i="6"/>
  <c r="M27" i="5"/>
  <c r="L27" i="5"/>
  <c r="K27" i="5"/>
  <c r="J27" i="5"/>
  <c r="I27" i="5"/>
  <c r="H27" i="5"/>
  <c r="G27" i="5"/>
  <c r="F27" i="5"/>
  <c r="M27" i="4"/>
  <c r="L27" i="4"/>
  <c r="K27" i="4"/>
  <c r="J27" i="4"/>
  <c r="I27" i="4"/>
  <c r="H27" i="4"/>
  <c r="G27" i="4"/>
  <c r="F27" i="4"/>
  <c r="M17" i="4"/>
  <c r="L17" i="4"/>
  <c r="K17" i="4"/>
  <c r="J17" i="4"/>
  <c r="I17" i="4"/>
  <c r="H17" i="4"/>
  <c r="G17" i="4"/>
  <c r="F17" i="4"/>
  <c r="M8" i="4"/>
  <c r="L8" i="4"/>
  <c r="K8" i="4"/>
  <c r="J8" i="4"/>
  <c r="I8" i="4"/>
  <c r="H8" i="4"/>
  <c r="G8" i="4"/>
  <c r="F8" i="4"/>
  <c r="M5" i="4"/>
  <c r="L5" i="4"/>
  <c r="K5" i="4"/>
  <c r="J5" i="4"/>
  <c r="I5" i="4"/>
  <c r="H5" i="4"/>
  <c r="G5" i="4"/>
  <c r="F5" i="4"/>
  <c r="M17" i="5"/>
  <c r="L17" i="5"/>
  <c r="K17" i="5"/>
  <c r="J17" i="5"/>
  <c r="I17" i="5"/>
  <c r="H17" i="5"/>
  <c r="G17" i="5"/>
  <c r="F17" i="5"/>
  <c r="M8" i="5"/>
  <c r="L8" i="5"/>
  <c r="K8" i="5"/>
  <c r="J8" i="5"/>
  <c r="I8" i="5"/>
  <c r="H8" i="5"/>
  <c r="G8" i="5"/>
  <c r="F8" i="5"/>
  <c r="M5" i="5"/>
  <c r="L5" i="5"/>
  <c r="K5" i="5"/>
  <c r="J5" i="5"/>
  <c r="I5" i="5"/>
  <c r="H5" i="5"/>
  <c r="G5" i="5"/>
  <c r="F5" i="5"/>
  <c r="M17" i="6" l="1"/>
  <c r="L17" i="6"/>
  <c r="K17" i="6"/>
  <c r="J17" i="6"/>
  <c r="I17" i="6"/>
  <c r="H17" i="6"/>
  <c r="G17" i="6"/>
  <c r="F17" i="6"/>
  <c r="M8" i="6"/>
  <c r="L8" i="6"/>
  <c r="K8" i="6"/>
  <c r="J8" i="6"/>
  <c r="I8" i="6"/>
  <c r="H8" i="6"/>
  <c r="G8" i="6"/>
  <c r="F8" i="6"/>
  <c r="M5" i="6"/>
  <c r="L5" i="6"/>
  <c r="K5" i="6"/>
  <c r="J5" i="6"/>
  <c r="I5" i="6"/>
  <c r="H5" i="6"/>
  <c r="G5" i="6"/>
  <c r="F5" i="6"/>
  <c r="H42" i="4" l="1"/>
  <c r="H41" i="4"/>
  <c r="M42" i="4"/>
  <c r="L42" i="4"/>
  <c r="K42" i="4"/>
  <c r="J42" i="4"/>
  <c r="I42" i="4"/>
  <c r="G42" i="4"/>
  <c r="F42" i="4"/>
  <c r="F41" i="4" l="1"/>
  <c r="G41" i="4"/>
  <c r="I41" i="4"/>
  <c r="J41" i="4"/>
  <c r="K41" i="4"/>
  <c r="L41" i="4"/>
  <c r="M41" i="4"/>
  <c r="G8" i="1"/>
  <c r="M42" i="6" l="1"/>
  <c r="L42" i="6"/>
  <c r="K42" i="6"/>
  <c r="J42" i="6"/>
  <c r="I42" i="6"/>
  <c r="H42" i="6"/>
  <c r="G42" i="6"/>
  <c r="F42" i="6"/>
  <c r="M42" i="5"/>
  <c r="L42" i="5"/>
  <c r="K42" i="5"/>
  <c r="J42" i="5"/>
  <c r="I42" i="5"/>
  <c r="H42" i="5"/>
  <c r="G42" i="5"/>
  <c r="F42" i="5"/>
  <c r="M27" i="1"/>
  <c r="L27" i="1"/>
  <c r="M17" i="1"/>
  <c r="L17" i="1"/>
  <c r="M8" i="1"/>
  <c r="L8" i="1"/>
  <c r="M5" i="1"/>
  <c r="M42" i="1" s="1"/>
  <c r="L5" i="1"/>
  <c r="L42" i="1" s="1"/>
  <c r="K27" i="1"/>
  <c r="J27" i="1"/>
  <c r="K17" i="1"/>
  <c r="J17" i="1"/>
  <c r="K8" i="1"/>
  <c r="J8" i="1"/>
  <c r="K5" i="1"/>
  <c r="K42" i="1" s="1"/>
  <c r="J5" i="1"/>
  <c r="J42" i="1" s="1"/>
  <c r="I27" i="1"/>
  <c r="H27" i="1"/>
  <c r="I17" i="1"/>
  <c r="H17" i="1"/>
  <c r="I8" i="1"/>
  <c r="H8" i="1"/>
  <c r="I5" i="1"/>
  <c r="I42" i="1" s="1"/>
  <c r="H5" i="1"/>
  <c r="H42" i="1" s="1"/>
  <c r="G5" i="1"/>
  <c r="G42" i="1" s="1"/>
  <c r="G17" i="1"/>
  <c r="G27" i="1"/>
  <c r="F42" i="1"/>
  <c r="F41" i="6" l="1"/>
  <c r="G41" i="6"/>
  <c r="H41" i="6"/>
  <c r="I41" i="6"/>
  <c r="J41" i="6"/>
  <c r="K41" i="6"/>
  <c r="L41" i="6"/>
  <c r="M41" i="6"/>
  <c r="F41" i="5"/>
  <c r="G41" i="5"/>
  <c r="H41" i="5"/>
  <c r="I41" i="5"/>
  <c r="J41" i="5"/>
  <c r="K41" i="5"/>
  <c r="L41" i="5"/>
  <c r="M41" i="5"/>
  <c r="H41" i="1"/>
  <c r="J41" i="1"/>
  <c r="L41" i="1"/>
  <c r="I41" i="1"/>
  <c r="K41" i="1"/>
  <c r="M41" i="1"/>
  <c r="F41" i="1"/>
  <c r="G4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allAlloc" description="Connection to the 'allAlloc' query in the workbook." type="5" refreshedVersion="0" background="1">
    <dbPr connection="Provider=Microsoft.Mashup.OleDb.1;Data Source=$Workbook$;Location=allAlloc;Extended Properties=&quot;&quot;" command="SELECT * FROM [allAlloc]"/>
  </connection>
  <connection id="2" xr16:uid="{D413E746-23C8-47F7-B348-BE5CCC5756FD}" name="Query - allAlloc (2)" description="Connection to the 'allAlloc (2)' query in the workbook." type="5" refreshedVersion="6" background="1">
    <dbPr connection="Provider=Microsoft.Mashup.OleDb.1;Data Source=$Workbook$;Location=&quot;allAlloc (2)&quot;;Extended Properties=&quot;&quot;" command="SELECT * FROM [allAlloc (2)]"/>
  </connection>
  <connection id="3" xr16:uid="{3FC0A282-4BDF-47FC-897C-36541A116FEE}" name="Query - allAlloc (3)" description="Connection to the 'allAlloc (3)' query in the workbook." type="5" refreshedVersion="6" background="1">
    <dbPr connection="Provider=Microsoft.Mashup.OleDb.1;Data Source=$Workbook$;Location=&quot;allAlloc (3)&quot;;Extended Properties=&quot;&quot;" command="SELECT * FROM [allAlloc (3)]"/>
  </connection>
  <connection id="4" xr16:uid="{1FB3D6CE-6633-4A1C-B59C-AA7E39BB60FE}" name="Query - allAlloc (4)" description="Connection to the 'allAlloc (4)' query in the workbook." type="5" refreshedVersion="6" background="1">
    <dbPr connection="Provider=Microsoft.Mashup.OleDb.1;Data Source=$Workbook$;Location=&quot;allAlloc (4)&quot;;Extended Properties=&quot;&quot;" command="SELECT * FROM [allAlloc (4)]"/>
  </connection>
  <connection id="5" xr16:uid="{3FC70888-D0D7-43C4-BC40-1C8B29C7AC39}" name="Query - allAlloc (5)" description="Connection to the 'allAlloc (5)' query in the workbook." type="5" refreshedVersion="6" background="1">
    <dbPr connection="Provider=Microsoft.Mashup.OleDb.1;Data Source=$Workbook$;Location=&quot;allAlloc (5)&quot;;Extended Properties=&quot;&quot;" command="SELECT * FROM [allAlloc (5)]"/>
  </connection>
  <connection id="6" xr16:uid="{00000000-0015-0000-FFFF-FFFF01000000}" name="Query - connectToAllAlloc" description="Connection to the 'connectToAllAlloc' query in the workbook." type="5" refreshedVersion="6" background="1" saveData="1">
    <dbPr connection="Provider=Microsoft.Mashup.OleDb.1;Data Source=$Workbook$;Location=connectToAllAlloc;Extended Properties=&quot;&quot;" command="SELECT * FROM [connectToAllAlloc]"/>
  </connection>
</connections>
</file>

<file path=xl/sharedStrings.xml><?xml version="1.0" encoding="utf-8"?>
<sst xmlns="http://schemas.openxmlformats.org/spreadsheetml/2006/main" count="655" uniqueCount="171">
  <si>
    <t>Cash&amp;MM</t>
  </si>
  <si>
    <t>Cash</t>
  </si>
  <si>
    <t>Equities</t>
  </si>
  <si>
    <t>Europe</t>
  </si>
  <si>
    <t>Japan</t>
  </si>
  <si>
    <t>Asia/China</t>
  </si>
  <si>
    <t>Bonds</t>
  </si>
  <si>
    <t>Loans</t>
  </si>
  <si>
    <t>Credit</t>
  </si>
  <si>
    <t>Alternatives</t>
  </si>
  <si>
    <t>CTA</t>
  </si>
  <si>
    <t>Tactical</t>
  </si>
  <si>
    <t>Strategical</t>
  </si>
  <si>
    <t>Allocation</t>
  </si>
  <si>
    <t>Conservative</t>
  </si>
  <si>
    <t>Income</t>
  </si>
  <si>
    <t>Balanced</t>
  </si>
  <si>
    <t>Aggressive</t>
  </si>
  <si>
    <t>Instrument</t>
  </si>
  <si>
    <t>WorldEquities</t>
  </si>
  <si>
    <t>Sectorial</t>
  </si>
  <si>
    <t>SingleStock</t>
  </si>
  <si>
    <t>GlobalCredit</t>
  </si>
  <si>
    <t>PrivateLoan</t>
  </si>
  <si>
    <t>EUR</t>
  </si>
  <si>
    <t>HighYield</t>
  </si>
  <si>
    <t>SingleBond</t>
  </si>
  <si>
    <t>Equity L/S</t>
  </si>
  <si>
    <t>Metal</t>
  </si>
  <si>
    <t>SingleHedgeFund</t>
  </si>
  <si>
    <t>Total Invested</t>
  </si>
  <si>
    <t>FxHedging</t>
  </si>
  <si>
    <t>Fx Risk</t>
  </si>
  <si>
    <t>CHF</t>
  </si>
  <si>
    <t>USD</t>
  </si>
  <si>
    <t>XAU Curncy</t>
  </si>
  <si>
    <t>GBP</t>
  </si>
  <si>
    <t>AssetClass</t>
  </si>
  <si>
    <t>AssetType</t>
  </si>
  <si>
    <t>DREQUIA LX Equity</t>
  </si>
  <si>
    <t>AREIIBA LX Equity</t>
  </si>
  <si>
    <t>IJPE LN Equity</t>
  </si>
  <si>
    <t>UBS0 04/24/25 Corp</t>
  </si>
  <si>
    <t>DRGLCRA LX Equity</t>
  </si>
  <si>
    <t>LISBA5A ID Equity</t>
  </si>
  <si>
    <t>LIARBA5 ID Equity</t>
  </si>
  <si>
    <t>MUZSDEA ID Equity</t>
  </si>
  <si>
    <t>TBWLSIE ID Equity</t>
  </si>
  <si>
    <t>ESLDILA LX Equity</t>
  </si>
  <si>
    <t>TFCFI1E LX Equity</t>
  </si>
  <si>
    <t>MLAQSEI ID Equity</t>
  </si>
  <si>
    <t>XAUCHF Curncy</t>
  </si>
  <si>
    <t>MUZSDUA ID Equity</t>
  </si>
  <si>
    <t>TFCFI1U LX Equity</t>
  </si>
  <si>
    <t>MUZSDGI ID Equity</t>
  </si>
  <si>
    <t>XAUGBP Curncy</t>
  </si>
  <si>
    <t>Convertible</t>
  </si>
  <si>
    <t>Emerging</t>
  </si>
  <si>
    <t>EEM US Equity</t>
  </si>
  <si>
    <t>LIOAIA1 ID Equity</t>
  </si>
  <si>
    <t>MECHEAF ID Equity</t>
  </si>
  <si>
    <t>MECAHUH ID Equity</t>
  </si>
  <si>
    <t>MECHGAF ID Equity</t>
  </si>
  <si>
    <t>BLWEEAE ID Equity</t>
  </si>
  <si>
    <t>MUHCHAS ID Equity</t>
  </si>
  <si>
    <t>EXANE 0 07/04/2022 Corp</t>
  </si>
  <si>
    <t>Dharmaresearch Dr Equity-A</t>
  </si>
  <si>
    <t>Blackwall Europe Equty-A Eur</t>
  </si>
  <si>
    <t>Ishares Msci Jpn Month Eur-H</t>
  </si>
  <si>
    <t>Ishares Msci Emerging Market</t>
  </si>
  <si>
    <t>Liontrust Gf Asia Inc-A1Eauh</t>
  </si>
  <si>
    <t>Ubs-Ct-Silex Gbl Engy 25</t>
  </si>
  <si>
    <t>Dharmaresearch Sa-Dr Gl Cr-A</t>
  </si>
  <si>
    <t>Liontrust Gf Strategc Bd-A5A</t>
  </si>
  <si>
    <t>Liontrust Gf Abs Ret Bd-A5D</t>
  </si>
  <si>
    <t>Arcano European Income I-Iba</t>
  </si>
  <si>
    <t>Muzinich Eu Cre Al-Heura Fdr</t>
  </si>
  <si>
    <t>Muzinich Short Dur Hg Yd-Hea</t>
  </si>
  <si>
    <t>Exa-Ct-Exa Man All Cv Per</t>
  </si>
  <si>
    <t>Exa-Ct-Exa X3 Mkt N Perp</t>
  </si>
  <si>
    <t>Blackwall Europe L/S-I Eur</t>
  </si>
  <si>
    <t>Esl Direct Lending-A</t>
  </si>
  <si>
    <t>Twy Fs Fds-Q Cap Mang Ft-I1E</t>
  </si>
  <si>
    <t>Ml Alphaquest Ucit-Eur Inst</t>
  </si>
  <si>
    <t>Xau-Eur X-Rate</t>
  </si>
  <si>
    <t>Muzinich Sd Hy-Hd Chf Acc S</t>
  </si>
  <si>
    <t>Muzinich Eu Cr Alpha-Husdanh</t>
  </si>
  <si>
    <t>Muzinich Sh Dur Hg Yd-Husda</t>
  </si>
  <si>
    <t>Twnty Fs Fds-Qcp Mang Ft-I1U</t>
  </si>
  <si>
    <t>Gold Spot   $/Oz</t>
  </si>
  <si>
    <t>Muzinich Eu Cre Al-Hgbpa Fdr</t>
  </si>
  <si>
    <t>Muzinich Short Dur Hg Yd-Hgi</t>
  </si>
  <si>
    <t>FxFwd</t>
  </si>
  <si>
    <t>FxHedging Total</t>
  </si>
  <si>
    <t>Alternatives Total</t>
  </si>
  <si>
    <t>PrivatEquiy</t>
  </si>
  <si>
    <t>Equities Total</t>
  </si>
  <si>
    <t>Bonds Total</t>
  </si>
  <si>
    <t>Cash Total</t>
  </si>
  <si>
    <t>(All)</t>
  </si>
  <si>
    <t>Profile</t>
  </si>
  <si>
    <t>BaseCur</t>
  </si>
  <si>
    <t>Sum of Weight</t>
  </si>
  <si>
    <t>Bank</t>
  </si>
  <si>
    <t>FxExposure</t>
  </si>
  <si>
    <t/>
  </si>
  <si>
    <t xml:space="preserve"> Total</t>
  </si>
  <si>
    <t>Ll Assets Spv C Eur Sp #</t>
  </si>
  <si>
    <t>Eur/Usd R 03/18/2020</t>
  </si>
  <si>
    <t>Usd/Eur R 03/18/2020</t>
  </si>
  <si>
    <t>Eur/Chf R 03/18/2020</t>
  </si>
  <si>
    <t>Eur/Gbp R 03/18/2020</t>
  </si>
  <si>
    <t>USD/EUR 03/18/2020 Curncy</t>
  </si>
  <si>
    <t>EUR/CHF 03/18/2020 Curncy</t>
  </si>
  <si>
    <t>EUR/USD 03/18/2020 Curncy</t>
  </si>
  <si>
    <t>EUR/GBP 03/18/2020 Curncy</t>
  </si>
  <si>
    <t>CH0413289155 Corp</t>
  </si>
  <si>
    <t>Ticker</t>
  </si>
  <si>
    <t>Curncy</t>
  </si>
  <si>
    <t>Prima Capital Fund</t>
  </si>
  <si>
    <t>01_EUR_Conservative_Strategical</t>
  </si>
  <si>
    <t>01_EUR_Conservative_Tactical</t>
  </si>
  <si>
    <t>53041500</t>
  </si>
  <si>
    <t>53182600</t>
  </si>
  <si>
    <t>53455200</t>
  </si>
  <si>
    <t>1600220</t>
  </si>
  <si>
    <t>1612195</t>
  </si>
  <si>
    <t>532336A0</t>
  </si>
  <si>
    <t>532338B0</t>
  </si>
  <si>
    <t>51921000</t>
  </si>
  <si>
    <t>52122600</t>
  </si>
  <si>
    <t>60864 F4</t>
  </si>
  <si>
    <t>53233800</t>
  </si>
  <si>
    <t>532338A0</t>
  </si>
  <si>
    <t>532336B0</t>
  </si>
  <si>
    <t>EEBE</t>
  </si>
  <si>
    <t>TBDB</t>
  </si>
  <si>
    <t>ROZV</t>
  </si>
  <si>
    <t>600220</t>
  </si>
  <si>
    <t>612195</t>
  </si>
  <si>
    <t>PESB</t>
  </si>
  <si>
    <t>QUGU</t>
  </si>
  <si>
    <t>JFXW</t>
  </si>
  <si>
    <t>DARLINGTON ASSETS CORP</t>
  </si>
  <si>
    <t>SWISS LIFE LUX - LAP4007789001</t>
  </si>
  <si>
    <t>0% Holdikks Jul2200 (Ost)  15.07.2200</t>
  </si>
  <si>
    <t>Coca-Cola Femsa Sab Cv</t>
  </si>
  <si>
    <t>Ebay Inc</t>
  </si>
  <si>
    <t>Petronas Global Sukuk Lt</t>
  </si>
  <si>
    <t>Toronto-Dominion Bank</t>
  </si>
  <si>
    <t>USA</t>
  </si>
  <si>
    <t>Ishares Core S&amp;P 500 Etf</t>
  </si>
  <si>
    <t>Ishares Core Euro Stoxx 50</t>
  </si>
  <si>
    <t>Glg Japan Corealpha-Ih Eur</t>
  </si>
  <si>
    <t>Liontrust Asia Income-I Inc</t>
  </si>
  <si>
    <t>Gold Napoleon Frf 20</t>
  </si>
  <si>
    <t>Or Maple Leaf (Pce) 1 Oz</t>
  </si>
  <si>
    <t>Xpt-Chf X-Rate</t>
  </si>
  <si>
    <t>Gold Pool $/Kgs</t>
  </si>
  <si>
    <t>Twy Fs Fds-Q Cap Mang Ft-R1E</t>
  </si>
  <si>
    <t>Ll Assets Spv D Eur Sp #</t>
  </si>
  <si>
    <t>Ll Assets Spv F Eur Sp #</t>
  </si>
  <si>
    <t>Ll Assets Spv G Eur Sp #</t>
  </si>
  <si>
    <t>PRMCAPD VI Equity</t>
  </si>
  <si>
    <t>PRMCAPC VI Equity</t>
  </si>
  <si>
    <t>PRMCAPI VI Equity</t>
  </si>
  <si>
    <t>PRMCAPE VI Equity</t>
  </si>
  <si>
    <t>Gold Spot   €/Oz</t>
  </si>
  <si>
    <t>Gold Spot   Chf/Oz</t>
  </si>
  <si>
    <t>Gold Spot   £/Oz</t>
  </si>
  <si>
    <t>AUXG Comdty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</si>
</sst>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 * #,##0.00_ ;_ * \-#,##0.00_ ;_ * &quot;-&quot;??_ ;_ @_ "/>
    <numFmt numFmtId="165" formatCode="0.0"/>
    <numFmt numFmtId="166" formatCode="_ * #,##0.0_ ;_ * \-#,##0.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gray0625">
        <bgColor theme="4" tint="0.79998168889431442"/>
      </patternFill>
    </fill>
    <fill>
      <patternFill patternType="gray0625">
        <bgColor theme="4" tint="0.59999389629810485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7">
    <xf numFmtId="0" fontId="0" fillId="0" borderId="0" xfId="0"/>
    <xf numFmtId="0" fontId="0" fillId="0" borderId="0" xfId="0"/>
    <xf numFmtId="0" fontId="0" fillId="0" borderId="0" xfId="0" applyAlignment="1">
      <alignment vertical="center" wrapText="1"/>
    </xf>
    <xf numFmtId="0" fontId="0" fillId="0" borderId="0" xfId="0"/>
    <xf numFmtId="0" fontId="3" fillId="0" borderId="0" xfId="0" applyFont="1"/>
    <xf numFmtId="164" fontId="3" fillId="0" borderId="0" xfId="1" applyFont="1"/>
    <xf numFmtId="0" fontId="3" fillId="0" borderId="0" xfId="0" applyFont="1" applyAlignment="1">
      <alignment vertical="center" wrapText="1"/>
    </xf>
    <xf numFmtId="0" fontId="3" fillId="0" borderId="13" xfId="0" applyFont="1" applyBorder="1"/>
    <xf numFmtId="0" fontId="0" fillId="0" borderId="13" xfId="0" applyBorder="1"/>
    <xf numFmtId="164" fontId="3" fillId="0" borderId="13" xfId="1" applyFont="1" applyBorder="1"/>
    <xf numFmtId="0" fontId="0" fillId="0" borderId="16" xfId="0" applyBorder="1"/>
    <xf numFmtId="0" fontId="3" fillId="0" borderId="16" xfId="0" applyFont="1" applyBorder="1"/>
    <xf numFmtId="164" fontId="3" fillId="0" borderId="16" xfId="1" applyFont="1" applyBorder="1"/>
    <xf numFmtId="0" fontId="3" fillId="0" borderId="9" xfId="0" applyFont="1" applyBorder="1"/>
    <xf numFmtId="0" fontId="0" fillId="0" borderId="9" xfId="0" applyBorder="1"/>
    <xf numFmtId="164" fontId="3" fillId="0" borderId="9" xfId="1" applyFont="1" applyBorder="1"/>
    <xf numFmtId="0" fontId="3" fillId="0" borderId="0" xfId="0" applyFont="1" applyBorder="1"/>
    <xf numFmtId="0" fontId="0" fillId="0" borderId="0" xfId="0" applyBorder="1"/>
    <xf numFmtId="164" fontId="3" fillId="0" borderId="0" xfId="1" applyFont="1" applyBorder="1"/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" xfId="0" applyBorder="1"/>
    <xf numFmtId="0" fontId="0" fillId="0" borderId="17" xfId="0" applyBorder="1"/>
    <xf numFmtId="0" fontId="3" fillId="0" borderId="2" xfId="0" applyFont="1" applyBorder="1"/>
    <xf numFmtId="0" fontId="3" fillId="0" borderId="10" xfId="0" applyFont="1" applyBorder="1"/>
    <xf numFmtId="0" fontId="0" fillId="0" borderId="16" xfId="0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0" fillId="0" borderId="0" xfId="0" applyFill="1" applyBorder="1"/>
    <xf numFmtId="0" fontId="0" fillId="0" borderId="16" xfId="0" applyBorder="1" applyAlignment="1">
      <alignment wrapText="1"/>
    </xf>
    <xf numFmtId="0" fontId="0" fillId="0" borderId="0" xfId="0" applyAlignment="1">
      <alignment horizontal="center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wrapText="1"/>
    </xf>
    <xf numFmtId="0" fontId="0" fillId="0" borderId="10" xfId="0" applyBorder="1"/>
    <xf numFmtId="0" fontId="0" fillId="0" borderId="22" xfId="0" applyBorder="1"/>
    <xf numFmtId="166" fontId="3" fillId="4" borderId="2" xfId="1" applyNumberFormat="1" applyFont="1" applyFill="1" applyBorder="1" applyAlignment="1">
      <alignment horizontal="center"/>
    </xf>
    <xf numFmtId="166" fontId="3" fillId="2" borderId="12" xfId="0" applyNumberFormat="1" applyFont="1" applyFill="1" applyBorder="1" applyAlignment="1">
      <alignment horizontal="center"/>
    </xf>
    <xf numFmtId="166" fontId="0" fillId="4" borderId="23" xfId="1" applyNumberFormat="1" applyFont="1" applyFill="1" applyBorder="1"/>
    <xf numFmtId="166" fontId="0" fillId="2" borderId="7" xfId="1" applyNumberFormat="1" applyFont="1" applyFill="1" applyBorder="1"/>
    <xf numFmtId="166" fontId="3" fillId="4" borderId="25" xfId="1" applyNumberFormat="1" applyFont="1" applyFill="1" applyBorder="1"/>
    <xf numFmtId="166" fontId="3" fillId="2" borderId="8" xfId="1" applyNumberFormat="1" applyFont="1" applyFill="1" applyBorder="1"/>
    <xf numFmtId="166" fontId="2" fillId="4" borderId="26" xfId="1" applyNumberFormat="1" applyFont="1" applyFill="1" applyBorder="1"/>
    <xf numFmtId="166" fontId="2" fillId="2" borderId="4" xfId="1" applyNumberFormat="1" applyFont="1" applyFill="1" applyBorder="1"/>
    <xf numFmtId="166" fontId="2" fillId="4" borderId="23" xfId="1" applyNumberFormat="1" applyFont="1" applyFill="1" applyBorder="1"/>
    <xf numFmtId="166" fontId="2" fillId="2" borderId="7" xfId="1" applyNumberFormat="1" applyFont="1" applyFill="1" applyBorder="1"/>
    <xf numFmtId="166" fontId="2" fillId="4" borderId="25" xfId="1" applyNumberFormat="1" applyFont="1" applyFill="1" applyBorder="1"/>
    <xf numFmtId="166" fontId="2" fillId="2" borderId="8" xfId="1" applyNumberFormat="1" applyFont="1" applyFill="1" applyBorder="1"/>
    <xf numFmtId="166" fontId="2" fillId="4" borderId="28" xfId="1" applyNumberFormat="1" applyFont="1" applyFill="1" applyBorder="1"/>
    <xf numFmtId="166" fontId="2" fillId="2" borderId="5" xfId="1" applyNumberFormat="1" applyFont="1" applyFill="1" applyBorder="1"/>
    <xf numFmtId="166" fontId="0" fillId="5" borderId="1" xfId="1" applyNumberFormat="1" applyFont="1" applyFill="1" applyBorder="1"/>
    <xf numFmtId="166" fontId="0" fillId="3" borderId="15" xfId="1" applyNumberFormat="1" applyFont="1" applyFill="1" applyBorder="1"/>
    <xf numFmtId="166" fontId="3" fillId="5" borderId="23" xfId="1" applyNumberFormat="1" applyFont="1" applyFill="1" applyBorder="1"/>
    <xf numFmtId="166" fontId="3" fillId="3" borderId="7" xfId="1" applyNumberFormat="1" applyFont="1" applyFill="1" applyBorder="1"/>
    <xf numFmtId="166" fontId="3" fillId="5" borderId="2" xfId="1" applyNumberFormat="1" applyFont="1" applyFill="1" applyBorder="1"/>
    <xf numFmtId="166" fontId="3" fillId="3" borderId="12" xfId="1" applyNumberFormat="1" applyFont="1" applyFill="1" applyBorder="1"/>
    <xf numFmtId="166" fontId="4" fillId="0" borderId="0" xfId="1" applyNumberFormat="1" applyFont="1"/>
    <xf numFmtId="166" fontId="0" fillId="0" borderId="0" xfId="0" applyNumberFormat="1"/>
    <xf numFmtId="166" fontId="0" fillId="0" borderId="0" xfId="1" applyNumberFormat="1" applyFont="1"/>
    <xf numFmtId="166" fontId="3" fillId="2" borderId="11" xfId="1" applyNumberFormat="1" applyFont="1" applyFill="1" applyBorder="1" applyAlignment="1">
      <alignment horizontal="center"/>
    </xf>
    <xf numFmtId="166" fontId="3" fillId="2" borderId="12" xfId="1" applyNumberFormat="1" applyFont="1" applyFill="1" applyBorder="1" applyAlignment="1">
      <alignment horizontal="center"/>
    </xf>
    <xf numFmtId="166" fontId="0" fillId="2" borderId="6" xfId="1" applyNumberFormat="1" applyFont="1" applyFill="1" applyBorder="1"/>
    <xf numFmtId="166" fontId="2" fillId="2" borderId="3" xfId="1" applyNumberFormat="1" applyFont="1" applyFill="1" applyBorder="1"/>
    <xf numFmtId="166" fontId="0" fillId="3" borderId="14" xfId="1" applyNumberFormat="1" applyFont="1" applyFill="1" applyBorder="1"/>
    <xf numFmtId="166" fontId="3" fillId="3" borderId="6" xfId="1" applyNumberFormat="1" applyFont="1" applyFill="1" applyBorder="1"/>
    <xf numFmtId="166" fontId="3" fillId="3" borderId="11" xfId="1" applyNumberFormat="1" applyFont="1" applyFill="1" applyBorder="1"/>
    <xf numFmtId="166" fontId="3" fillId="2" borderId="2" xfId="1" applyNumberFormat="1" applyFont="1" applyFill="1" applyBorder="1" applyAlignment="1">
      <alignment horizontal="center"/>
    </xf>
    <xf numFmtId="166" fontId="3" fillId="2" borderId="22" xfId="1" applyNumberFormat="1" applyFont="1" applyFill="1" applyBorder="1" applyAlignment="1">
      <alignment horizontal="center"/>
    </xf>
    <xf numFmtId="166" fontId="0" fillId="2" borderId="23" xfId="1" applyNumberFormat="1" applyFont="1" applyFill="1" applyBorder="1"/>
    <xf numFmtId="166" fontId="0" fillId="2" borderId="24" xfId="1" applyNumberFormat="1" applyFont="1" applyFill="1" applyBorder="1"/>
    <xf numFmtId="166" fontId="2" fillId="2" borderId="26" xfId="1" applyNumberFormat="1" applyFont="1" applyFill="1" applyBorder="1"/>
    <xf numFmtId="166" fontId="2" fillId="2" borderId="27" xfId="1" applyNumberFormat="1" applyFont="1" applyFill="1" applyBorder="1"/>
    <xf numFmtId="166" fontId="0" fillId="2" borderId="1" xfId="1" applyNumberFormat="1" applyFont="1" applyFill="1" applyBorder="1"/>
    <xf numFmtId="166" fontId="0" fillId="2" borderId="15" xfId="1" applyNumberFormat="1" applyFont="1" applyFill="1" applyBorder="1"/>
    <xf numFmtId="166" fontId="0" fillId="2" borderId="14" xfId="1" applyNumberFormat="1" applyFont="1" applyFill="1" applyBorder="1"/>
    <xf numFmtId="166" fontId="0" fillId="2" borderId="21" xfId="1" applyNumberFormat="1" applyFont="1" applyFill="1" applyBorder="1"/>
    <xf numFmtId="166" fontId="3" fillId="2" borderId="23" xfId="1" applyNumberFormat="1" applyFont="1" applyFill="1" applyBorder="1"/>
    <xf numFmtId="166" fontId="3" fillId="2" borderId="7" xfId="1" applyNumberFormat="1" applyFont="1" applyFill="1" applyBorder="1"/>
    <xf numFmtId="166" fontId="3" fillId="2" borderId="6" xfId="1" applyNumberFormat="1" applyFont="1" applyFill="1" applyBorder="1"/>
    <xf numFmtId="166" fontId="3" fillId="2" borderId="24" xfId="1" applyNumberFormat="1" applyFont="1" applyFill="1" applyBorder="1"/>
    <xf numFmtId="166" fontId="3" fillId="2" borderId="2" xfId="1" applyNumberFormat="1" applyFont="1" applyFill="1" applyBorder="1"/>
    <xf numFmtId="166" fontId="3" fillId="2" borderId="12" xfId="1" applyNumberFormat="1" applyFont="1" applyFill="1" applyBorder="1"/>
    <xf numFmtId="166" fontId="3" fillId="2" borderId="11" xfId="1" applyNumberFormat="1" applyFont="1" applyFill="1" applyBorder="1"/>
    <xf numFmtId="166" fontId="3" fillId="2" borderId="22" xfId="1" applyNumberFormat="1" applyFont="1" applyFill="1" applyBorder="1"/>
    <xf numFmtId="166" fontId="3" fillId="2" borderId="1" xfId="0" applyNumberFormat="1" applyFont="1" applyFill="1" applyBorder="1" applyAlignment="1">
      <alignment horizontal="center"/>
    </xf>
    <xf numFmtId="166" fontId="3" fillId="2" borderId="15" xfId="0" applyNumberFormat="1" applyFont="1" applyFill="1" applyBorder="1" applyAlignment="1">
      <alignment horizontal="center"/>
    </xf>
    <xf numFmtId="166" fontId="3" fillId="3" borderId="20" xfId="0" applyNumberFormat="1" applyFont="1" applyFill="1" applyBorder="1" applyAlignment="1">
      <alignment horizontal="center"/>
    </xf>
    <xf numFmtId="166" fontId="3" fillId="3" borderId="18" xfId="0" applyNumberFormat="1" applyFont="1" applyFill="1" applyBorder="1" applyAlignment="1">
      <alignment horizontal="center"/>
    </xf>
    <xf numFmtId="166" fontId="3" fillId="3" borderId="19" xfId="0" applyNumberFormat="1" applyFont="1" applyFill="1" applyBorder="1" applyAlignment="1">
      <alignment horizontal="center"/>
    </xf>
    <xf numFmtId="166" fontId="3" fillId="3" borderId="20" xfId="1" applyNumberFormat="1" applyFont="1" applyFill="1" applyBorder="1" applyAlignment="1">
      <alignment horizontal="center"/>
    </xf>
    <xf numFmtId="166" fontId="3" fillId="3" borderId="18" xfId="1" applyNumberFormat="1" applyFont="1" applyFill="1" applyBorder="1" applyAlignment="1">
      <alignment horizontal="center"/>
    </xf>
    <xf numFmtId="166" fontId="3" fillId="3" borderId="19" xfId="1" applyNumberFormat="1" applyFont="1" applyFill="1" applyBorder="1" applyAlignment="1">
      <alignment horizontal="center"/>
    </xf>
    <xf numFmtId="166" fontId="3" fillId="2" borderId="14" xfId="1" applyNumberFormat="1" applyFont="1" applyFill="1" applyBorder="1" applyAlignment="1">
      <alignment horizontal="center"/>
    </xf>
    <xf numFmtId="166" fontId="3" fillId="2" borderId="15" xfId="1" applyNumberFormat="1" applyFont="1" applyFill="1" applyBorder="1" applyAlignment="1">
      <alignment horizontal="center"/>
    </xf>
    <xf numFmtId="166" fontId="3" fillId="2" borderId="1" xfId="1" applyNumberFormat="1" applyFont="1" applyFill="1" applyBorder="1" applyAlignment="1">
      <alignment horizontal="center"/>
    </xf>
    <xf numFmtId="166" fontId="3" fillId="2" borderId="21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17"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  <i val="0"/>
        <color rgb="FFFF0000"/>
      </font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 xr9:uid="{00000000-0011-0000-FFFF-FFFF00000000}">
      <tableStyleElement type="wholeTable" dxfId="16"/>
      <tableStyleElement type="headerRow" dxfId="15"/>
      <tableStyleElement type="firstRowStripe" dxfId="14"/>
    </tableStyle>
    <tableStyle name="TableStyleQueryResult" pivot="0" count="3" xr9:uid="{00000000-0011-0000-FFFF-FFFF01000000}">
      <tableStyleElement type="wholeTable" dxfId="13"/>
      <tableStyleElement type="headerRow" dxfId="12"/>
      <tableStyleElement type="first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xandre Agret" refreshedDate="43838.642677199074" backgroundQuery="1" createdVersion="6" refreshedVersion="6" minRefreshableVersion="3" recordCount="1119" xr:uid="{2250E4EF-37A6-4855-B947-9D4B55B2C097}">
  <cacheSource type="external" connectionId="5"/>
  <cacheFields count="13">
    <cacheField name="Isin" numFmtId="0">
      <sharedItems/>
    </cacheField>
    <cacheField name="Client" numFmtId="0">
      <sharedItems count="66">
        <s v="53197400"/>
        <s v="46178 00"/>
        <s v="51099400"/>
        <s v="1611603"/>
        <s v="1600220"/>
        <s v="53455200"/>
        <s v="1707872"/>
        <s v="532336A0"/>
        <s v="532338B0"/>
        <s v="53041500"/>
        <s v="RL831100"/>
        <s v="15549 00"/>
        <s v="1612195"/>
        <s v="51921000"/>
        <s v="52122600"/>
        <s v="53233600"/>
        <s v="53233700"/>
        <s v="534552A0"/>
        <s v="60864 F4"/>
        <s v="60864 W1"/>
        <s v="53233800"/>
        <s v="532338A0"/>
        <s v="32540 00"/>
        <s v="53182600"/>
        <s v="53669800"/>
        <s v="532336B0"/>
        <s v="51732900"/>
        <s v="52599200"/>
        <s v="1158037"/>
        <s v="1608856"/>
        <s v="60864 K7"/>
        <s v="01_CHF_Aggressive_Strategical"/>
        <s v="01_CHF_Aggressive_Tactical"/>
        <s v="01_CHF_Balanced_Strategical"/>
        <s v="01_CHF_Balanced_Tactical"/>
        <s v="01_CHF_Conservative_Strategical"/>
        <s v="01_CHF_Conservative_Tactical"/>
        <s v="01_CHF_Income_Strategical"/>
        <s v="01_CHF_Income_Tactical"/>
        <s v="01_EUR_Aggressive_Strategical"/>
        <s v="01_EUR_Aggressive_Tactical"/>
        <s v="01_EUR_Balanced_Strategical"/>
        <s v="01_EUR_Balanced_Tactical"/>
        <s v="01_EUR_Conservative_Strategical"/>
        <s v="01_EUR_Conservative_Tactical"/>
        <s v="01_EUR_Income_Strategical"/>
        <s v="01_EUR_Income_Tactical"/>
        <s v="01_GBP_Aggressive_Strategical"/>
        <s v="01_GBP_Aggressive_Tactical"/>
        <s v="01_GBP_Balanced_Strategical"/>
        <s v="01_GBP_Balanced_Tactical"/>
        <s v="01_GBP_Conservative_Strategical"/>
        <s v="01_GBP_Conservative_Tactical"/>
        <s v="01_GBP_Income_Strategical"/>
        <s v="01_GBP_Income_Tactical"/>
        <s v="01_USD_Aggressive_Strategical"/>
        <s v="01_USD_Aggressive_Tactical"/>
        <s v="01_USD_Balanced_Strategical"/>
        <s v="01_USD_Balanced_Tactical"/>
        <s v="01_USD_Conservative_Strategical"/>
        <s v="01_USD_Conservative_Tactical"/>
        <s v="01_USD_Income_Strategical"/>
        <s v="01_USD_Income_Tactical"/>
        <s v="1521105"/>
        <s v="46720 00"/>
        <s v="RL830900"/>
      </sharedItems>
    </cacheField>
    <cacheField name="Weight" numFmtId="0">
      <sharedItems containsSemiMixedTypes="0" containsString="0" containsNumber="1" minValue="-88" maxValue="100"/>
    </cacheField>
    <cacheField name="Bank" numFmtId="0">
      <sharedItems count="3">
        <s v="LODH"/>
        <s v="BPER"/>
        <s v="Artha"/>
      </sharedItems>
    </cacheField>
    <cacheField name="ClientName" numFmtId="0">
      <sharedItems count="61">
        <s v="EAGLE RIVER LTD"/>
        <s v="QIPG"/>
        <s v="WUXE"/>
        <s v="611603"/>
        <s v="600220"/>
        <s v="ROZV"/>
        <s v="707872"/>
        <s v="PESB"/>
        <s v="QUGU"/>
        <s v="EEBE"/>
        <s v="RL8311 00"/>
        <s v="MARA 549"/>
        <s v="612195"/>
        <s v="JFXW"/>
        <s v="DARLINGTON ASSETS CORP"/>
        <s v="PJTE"/>
        <s v="SWISS LIFE LUX - LAP4007789001"/>
        <s v="SWISS LIFE LUX SA - 4007790002"/>
        <s v="OFIT"/>
        <s v="TBDB"/>
        <s v="MLGN"/>
        <s v="SXSU"/>
        <s v="VENS"/>
        <s v="Henri"/>
        <s v="Artha Finance"/>
        <s v="SWISS LIFE LUX - LAP4007648001"/>
        <s v="01_CHF_Aggressive_Strategical"/>
        <s v="01_CHF_Aggressive_Tactical"/>
        <s v="01_CHF_Balanced_Strategical"/>
        <s v="01_CHF_Balanced_Tactical"/>
        <s v="01_CHF_Conservative_Strategical"/>
        <s v="01_CHF_Conservative_Tactical"/>
        <s v="01_CHF_Income_Strategical"/>
        <s v="01_CHF_Income_Tactical"/>
        <s v="01_EUR_Aggressive_Strategical"/>
        <s v="01_EUR_Aggressive_Tactical"/>
        <s v="01_EUR_Balanced_Strategical"/>
        <s v="01_EUR_Balanced_Tactical"/>
        <s v="01_EUR_Conservative_Strategical"/>
        <s v="01_EUR_Conservative_Tactical"/>
        <s v="01_EUR_Income_Strategical"/>
        <s v="01_EUR_Income_Tactical"/>
        <s v="01_GBP_Aggressive_Strategical"/>
        <s v="01_GBP_Aggressive_Tactical"/>
        <s v="01_GBP_Balanced_Strategical"/>
        <s v="01_GBP_Balanced_Tactical"/>
        <s v="01_GBP_Conservative_Strategical"/>
        <s v="01_GBP_Conservative_Tactical"/>
        <s v="01_GBP_Income_Strategical"/>
        <s v="01_GBP_Income_Tactical"/>
        <s v="01_USD_Aggressive_Strategical"/>
        <s v="01_USD_Aggressive_Tactical"/>
        <s v="01_USD_Balanced_Strategical"/>
        <s v="01_USD_Balanced_Tactical"/>
        <s v="01_USD_Conservative_Strategical"/>
        <s v="01_USD_Conservative_Tactical"/>
        <s v="01_USD_Income_Strategical"/>
        <s v="01_USD_Income_Tactical"/>
        <s v="521105"/>
        <s v="BFMF"/>
        <s v="RL8309 00"/>
      </sharedItems>
    </cacheField>
    <cacheField name="BaseCur" numFmtId="0">
      <sharedItems count="4">
        <s v="EUR"/>
        <s v="CHF"/>
        <s v="GBP"/>
        <s v="USD"/>
      </sharedItems>
    </cacheField>
    <cacheField name="Profile" numFmtId="0">
      <sharedItems count="9">
        <s v="Balanced"/>
        <s v="ConservativePlus"/>
        <s v="Aggressive"/>
        <s v="Revenu"/>
        <s v="Conservative"/>
        <s v="Income"/>
        <s v="AdminOnly"/>
        <s v="NONE??"/>
        <s v="Suspendu Death ex Income"/>
      </sharedItems>
    </cacheField>
    <cacheField name="Tic" numFmtId="0">
      <sharedItems/>
    </cacheField>
    <cacheField name="SecName" numFmtId="0">
      <sharedItems count="113">
        <s v="X-Fab Silicon Foundries Se"/>
        <s v="Am2 Bermuda Limited Fund-Eur"/>
        <s v="Western Resources Corp"/>
        <s v="Sgs Sa-Reg"/>
        <s v="Gold 500g"/>
        <s v="Gold Pool $/Kgs"/>
        <s v="Xpt-Chf X-Rate"/>
        <s v="Beau-Rivage-Palace-Reg Pfd"/>
        <s v="Zurich Insurance Group Ag"/>
        <s v="Novartis Ag-Reg"/>
        <s v="Roche Holding Ag-Genusschein"/>
        <s v="Adecco Group Ag-Reg"/>
        <s v="Clariant Ag-Reg"/>
        <s v="Abb Ltd-Reg"/>
        <s v="Kudelski Sa-Br"/>
        <s v="Jungfraubahn Holding Ag-Reg"/>
        <s v="Nestle Sa-Reg"/>
        <s v="Ubs Group Ag-Reg"/>
        <s v="Ubs-Ct-Silex Gbl Engy 25"/>
        <s v="Lo Ch-Short-Term Mm Us-Usdma"/>
        <s v="Exa-Ct-Exa X3 Mkt N Perp"/>
        <s v="Alcon Inc"/>
        <s v="Exa-Ct-Exa Man All Cv Per"/>
        <s v="Aevis Victoria Sa"/>
        <s v="Bayer Ag-Reg"/>
        <s v="Abengoa SA- B Shares"/>
        <s v="Eur/Chf R 03/18/2020"/>
        <s v="Eur/Usd R 03/18/2020"/>
        <s v="Hermes International"/>
        <s v="Total Sa"/>
        <s v="L'Oreal"/>
        <s v="Sanofi"/>
        <s v="Lvmh Moet Hennessy Louis Vui"/>
        <s v="Gold Napoleon Frf 20"/>
        <s v="Engie"/>
        <s v="S.O.I.T.E.C."/>
        <s v="FxFwd"/>
        <s v="Royal Dutch Shell Plc-A Shs"/>
        <s v="Liontrust Uk Smaller Co-I"/>
        <s v="Liontrust Asia Income-I Inc"/>
        <s v="Ishares Core Ftse 100"/>
        <s v="Ishares Core Euro Stoxx 50"/>
        <s v="Ishares Euro Dividend"/>
        <s v="Ishares Msci Jpn Month Eur-H"/>
        <s v="Glg Japan Corealpha-Ih Eur"/>
        <s v="Muzinich Sh Dur Hg Yd-Husda"/>
        <s v="Muzinich Short Dur Hg Yd-Hea"/>
        <s v="Muzinich Short Dur Hg Yd-Hgi"/>
        <s v="Muzinich Sd Hy-Hd Chf Acc S"/>
        <s v="Ml Alphaquest Ucit-Eur Inst"/>
        <s v="Ml Alphaquest Ucit-Chf Inst"/>
        <s v="Ml Alphaquest Ucit-Usd Inst"/>
        <s v="Liontrust Gf Abs Ret Bd-A5D"/>
        <s v="Blackwall Europe Equty-R Eur"/>
        <s v="Liontrust Gf Strategc Bd-A5A"/>
        <s v="Blackwall Europe L/S-I Eur"/>
        <s v="Wishdom Gold ETF"/>
        <s v="Wt Physical Swiss Gold"/>
        <s v="Arcano European Income I-Iba"/>
        <s v="Arcano European Inc I-HACF"/>
        <s v="Twy Fs Fds-Q Cap Mang Ft-I1E"/>
        <s v="Twnty Fs Fds-Qcp Mang Ft-I1U"/>
        <s v="Twy Fs Fds-Q Cap Mang Ft-R1E"/>
        <s v="Esl Direct Lending-A"/>
        <s v="Dharmaresearch Dr Equity-A"/>
        <s v="Dharmaresearch Sa-Dr Gl Cr-A"/>
        <s v="Stmicroelectronics Nv"/>
        <s v="Ferrari Nv"/>
        <s v="Amazon.Com Inc"/>
        <s v="Apple Inc"/>
        <s v="Cheniere Energy Inc"/>
        <s v="Cisco Systems Inc"/>
        <s v="Coca-Cola Femsa Sab Cv"/>
        <s v="Ebay Inc"/>
        <s v="Hexcel Corp"/>
        <s v="Ishares Core S&amp;P 500 Etf"/>
        <s v="Lyft Inc-A"/>
        <s v="Spdr S&amp;P 500 Etf Trust"/>
        <s v="Spdr Gold Shares"/>
        <s v="Spdr S&amp;P Dividend Etf"/>
        <s v="Tellurian Inc"/>
        <s v="Tesla Inc"/>
        <s v="Toronto-Dominion Bank"/>
        <s v="Petronas Global Sukuk Lt"/>
        <s v="Ll Assets Spv C Eur Sp #"/>
        <s v="Ll Assets Spv D Eur Sp #"/>
        <s v="Ll Assets Spv F Eur Sp #"/>
        <s v="Ll Assets Spv G Eur Sp #"/>
        <s v="Or Maple Leaf (Pce) 1 Oz"/>
        <s v="Maranatha Fund Ltd"/>
        <s v="Serenitas Cr Gam Off C1"/>
        <s v="Alphaquest Original"/>
        <s v="0% Holdikks Jul2200 (Ost)  15.07.2200"/>
        <s v="Blackwall Europe Equty-A Eur"/>
        <s v="Ishares Msci Emerging Market"/>
        <s v=""/>
        <s v="Liontrust Gf Asia Inc-A1Eauh"/>
        <s v="Muzinich Eu Cr Alpha-Husdanh"/>
        <s v="Muzinich Eu Cre Al-Heura Fdr"/>
        <s v="Muzinich Eu Cre Al-Hgbpa Fdr"/>
        <s v="SingleBond"/>
        <s v="SingleHedgeFund"/>
        <s v="SingleStock"/>
        <s v="Gold Spot   $/Oz"/>
        <s v="Xau-Chf X-Rate"/>
        <s v="Xau-Eur X-Rate"/>
        <s v="Xau-Gbp X-Rate"/>
        <s v="Cash"/>
        <s v="FxExposure"/>
        <s v="Usd/Eur R 11/25/2019" u="1"/>
        <s v="Eur/Chf R 12/18/2019" u="1"/>
        <s v="Eur/Gbp R 12/18/2019" u="1"/>
        <s v="Eur/Usd R 12/18/2019" u="1"/>
      </sharedItems>
    </cacheField>
    <cacheField name="AssetClass" numFmtId="0">
      <sharedItems count="7">
        <s v="Equities"/>
        <s v="Alternatives"/>
        <s v="Cash"/>
        <s v="Bonds"/>
        <s v="FxHedging"/>
        <s v="FxFwd"/>
        <s v=""/>
      </sharedItems>
    </cacheField>
    <cacheField name="AssetType" numFmtId="0">
      <sharedItems count="24">
        <s v="SingleStock"/>
        <s v="PrivatEquiy"/>
        <s v="Metal"/>
        <s v="Sectorial"/>
        <s v="MM+Deposits"/>
        <s v="Equity L/S"/>
        <s v="Convertible"/>
        <s v="FxFwd"/>
        <s v="Europe"/>
        <s v="Asia/China"/>
        <s v="Japan"/>
        <s v="HighYield"/>
        <s v="CTA"/>
        <s v="Credit"/>
        <s v="Loans"/>
        <s v="PrivateLoan"/>
        <s v="WorldEquities"/>
        <s v="GlobalCredit"/>
        <s v="SingleBond"/>
        <s v="USA"/>
        <s v="SingleHedgeFund"/>
        <s v="Emerging"/>
        <s v="Cash"/>
        <s v="FxExposure"/>
      </sharedItems>
    </cacheField>
    <cacheField name="Cur" numFmtId="0">
      <sharedItems count="7">
        <s v="EUR"/>
        <s v="CAD"/>
        <s v="CHF"/>
        <s v="USD"/>
        <s v=""/>
        <s v="GBP"/>
        <s v="var"/>
      </sharedItems>
    </cacheField>
    <cacheField name="Benchmark" numFmtId="0">
      <sharedItems count="10">
        <s v=""/>
        <s v="XAU Curncy"/>
        <s v="SXW1I0R Index"/>
        <s v="LOIMMUI SW Equity"/>
        <s v="EXDMX3MN Index"/>
        <s v="EXDMCBEU Index"/>
        <s v="XAUEUR Curncy"/>
        <s v="LU13TRUU Index"/>
        <s v="SCGMFLP KY Equity"/>
        <s v="LP01TREU Index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9">
  <r>
    <s v="BE0974310428"/>
    <x v="0"/>
    <n v="0.33739999999999998"/>
    <x v="0"/>
    <x v="0"/>
    <x v="0"/>
    <x v="0"/>
    <s v="XFAB FP Equity"/>
    <x v="0"/>
    <x v="0"/>
    <x v="0"/>
    <x v="0"/>
    <x v="0"/>
  </r>
  <r>
    <s v="BMG0415W1010"/>
    <x v="1"/>
    <n v="1.0531999999999999"/>
    <x v="0"/>
    <x v="1"/>
    <x v="0"/>
    <x v="1"/>
    <s v="AM2EUR1 BH Equity"/>
    <x v="1"/>
    <x v="1"/>
    <x v="1"/>
    <x v="0"/>
    <x v="0"/>
  </r>
  <r>
    <s v="CA95942C1041"/>
    <x v="1"/>
    <n v="0.13100000000000001"/>
    <x v="0"/>
    <x v="1"/>
    <x v="0"/>
    <x v="1"/>
    <s v="WRX CN Equity"/>
    <x v="2"/>
    <x v="0"/>
    <x v="0"/>
    <x v="1"/>
    <x v="0"/>
  </r>
  <r>
    <s v="CH0002497458"/>
    <x v="2"/>
    <n v="20.195699999999999"/>
    <x v="0"/>
    <x v="2"/>
    <x v="1"/>
    <x v="2"/>
    <s v="SGSN SW Equity"/>
    <x v="3"/>
    <x v="0"/>
    <x v="0"/>
    <x v="2"/>
    <x v="0"/>
  </r>
  <r>
    <s v="CH0002811260"/>
    <x v="3"/>
    <n v="0.11"/>
    <x v="1"/>
    <x v="3"/>
    <x v="0"/>
    <x v="3"/>
    <s v="Gold500g"/>
    <x v="4"/>
    <x v="1"/>
    <x v="2"/>
    <x v="3"/>
    <x v="1"/>
  </r>
  <r>
    <s v="CH0002811286"/>
    <x v="4"/>
    <n v="0.65"/>
    <x v="1"/>
    <x v="4"/>
    <x v="0"/>
    <x v="4"/>
    <s v="GOLDPLSF Comdty"/>
    <x v="5"/>
    <x v="1"/>
    <x v="2"/>
    <x v="2"/>
    <x v="0"/>
  </r>
  <r>
    <s v="CH0002811286"/>
    <x v="3"/>
    <n v="4.7699999999999996"/>
    <x v="1"/>
    <x v="3"/>
    <x v="0"/>
    <x v="3"/>
    <s v="GOLDPLSF Comdty"/>
    <x v="5"/>
    <x v="1"/>
    <x v="2"/>
    <x v="2"/>
    <x v="0"/>
  </r>
  <r>
    <s v="CH0002811286"/>
    <x v="5"/>
    <n v="57.479199999999999"/>
    <x v="0"/>
    <x v="5"/>
    <x v="0"/>
    <x v="4"/>
    <s v="GOLDPLSF Comdty"/>
    <x v="5"/>
    <x v="1"/>
    <x v="2"/>
    <x v="2"/>
    <x v="0"/>
  </r>
  <r>
    <s v="CH0002876487"/>
    <x v="5"/>
    <n v="0.70130000000000003"/>
    <x v="0"/>
    <x v="5"/>
    <x v="0"/>
    <x v="4"/>
    <s v="XPTCHF Curncy"/>
    <x v="6"/>
    <x v="1"/>
    <x v="2"/>
    <x v="2"/>
    <x v="0"/>
  </r>
  <r>
    <s v="CH0010726963"/>
    <x v="2"/>
    <n v="1.2646999999999999"/>
    <x v="0"/>
    <x v="2"/>
    <x v="1"/>
    <x v="2"/>
    <s v="RIVN SW Equity"/>
    <x v="7"/>
    <x v="0"/>
    <x v="0"/>
    <x v="2"/>
    <x v="0"/>
  </r>
  <r>
    <s v="CH0011075394"/>
    <x v="2"/>
    <n v="1.4053"/>
    <x v="0"/>
    <x v="2"/>
    <x v="1"/>
    <x v="2"/>
    <s v="ZURN SW Equity"/>
    <x v="8"/>
    <x v="0"/>
    <x v="0"/>
    <x v="2"/>
    <x v="0"/>
  </r>
  <r>
    <s v="CH0012005267"/>
    <x v="2"/>
    <n v="8.0761000000000003"/>
    <x v="0"/>
    <x v="2"/>
    <x v="1"/>
    <x v="2"/>
    <s v="NOVN SW Equity"/>
    <x v="9"/>
    <x v="0"/>
    <x v="0"/>
    <x v="2"/>
    <x v="0"/>
  </r>
  <r>
    <s v="CH0012032048"/>
    <x v="2"/>
    <n v="22.1205"/>
    <x v="0"/>
    <x v="2"/>
    <x v="1"/>
    <x v="2"/>
    <s v="ROG SW Equity"/>
    <x v="10"/>
    <x v="0"/>
    <x v="0"/>
    <x v="2"/>
    <x v="0"/>
  </r>
  <r>
    <s v="CH0012138605"/>
    <x v="2"/>
    <n v="2.6728000000000001"/>
    <x v="0"/>
    <x v="2"/>
    <x v="1"/>
    <x v="2"/>
    <s v="ADEN SW Equity"/>
    <x v="11"/>
    <x v="0"/>
    <x v="0"/>
    <x v="2"/>
    <x v="0"/>
  </r>
  <r>
    <s v="CH0012142631"/>
    <x v="2"/>
    <n v="1.5636000000000001"/>
    <x v="0"/>
    <x v="2"/>
    <x v="1"/>
    <x v="2"/>
    <s v="CLN SW Equity"/>
    <x v="12"/>
    <x v="0"/>
    <x v="0"/>
    <x v="2"/>
    <x v="0"/>
  </r>
  <r>
    <s v="CH0012221716"/>
    <x v="2"/>
    <n v="7.7534000000000001"/>
    <x v="0"/>
    <x v="2"/>
    <x v="1"/>
    <x v="2"/>
    <s v="ABBN SW Equity"/>
    <x v="13"/>
    <x v="0"/>
    <x v="0"/>
    <x v="2"/>
    <x v="0"/>
  </r>
  <r>
    <s v="CH0012268360"/>
    <x v="2"/>
    <n v="2.5100000000000001E-2"/>
    <x v="0"/>
    <x v="2"/>
    <x v="1"/>
    <x v="2"/>
    <s v="KUD SW Equity"/>
    <x v="14"/>
    <x v="0"/>
    <x v="0"/>
    <x v="2"/>
    <x v="0"/>
  </r>
  <r>
    <s v="CH0017875789"/>
    <x v="2"/>
    <n v="10.273099999999999"/>
    <x v="0"/>
    <x v="2"/>
    <x v="1"/>
    <x v="2"/>
    <s v="JFN SW Equity"/>
    <x v="15"/>
    <x v="0"/>
    <x v="0"/>
    <x v="2"/>
    <x v="0"/>
  </r>
  <r>
    <s v="CH0038863350"/>
    <x v="6"/>
    <n v="2.4"/>
    <x v="1"/>
    <x v="6"/>
    <x v="1"/>
    <x v="4"/>
    <s v="NESN SW Equity"/>
    <x v="16"/>
    <x v="0"/>
    <x v="0"/>
    <x v="2"/>
    <x v="0"/>
  </r>
  <r>
    <s v="CH0038863350"/>
    <x v="2"/>
    <n v="16.101500000000001"/>
    <x v="0"/>
    <x v="2"/>
    <x v="1"/>
    <x v="2"/>
    <s v="NESN SW Equity"/>
    <x v="16"/>
    <x v="0"/>
    <x v="0"/>
    <x v="2"/>
    <x v="0"/>
  </r>
  <r>
    <s v="CH0038863350"/>
    <x v="7"/>
    <n v="18.310600000000001"/>
    <x v="0"/>
    <x v="7"/>
    <x v="0"/>
    <x v="4"/>
    <s v="NESN SW Equity"/>
    <x v="16"/>
    <x v="0"/>
    <x v="0"/>
    <x v="2"/>
    <x v="0"/>
  </r>
  <r>
    <s v="CH0038863350"/>
    <x v="8"/>
    <n v="14.7347"/>
    <x v="0"/>
    <x v="8"/>
    <x v="0"/>
    <x v="4"/>
    <s v="NESN SW Equity"/>
    <x v="16"/>
    <x v="0"/>
    <x v="0"/>
    <x v="2"/>
    <x v="0"/>
  </r>
  <r>
    <s v="CH0244767585"/>
    <x v="2"/>
    <n v="1.4480999999999999"/>
    <x v="0"/>
    <x v="2"/>
    <x v="1"/>
    <x v="2"/>
    <s v="UBSG SW Equity"/>
    <x v="17"/>
    <x v="0"/>
    <x v="0"/>
    <x v="2"/>
    <x v="0"/>
  </r>
  <r>
    <s v="CH0385841447"/>
    <x v="9"/>
    <n v="1.9073"/>
    <x v="0"/>
    <x v="9"/>
    <x v="0"/>
    <x v="4"/>
    <s v="UBS0 04/24/25 Corp"/>
    <x v="18"/>
    <x v="0"/>
    <x v="3"/>
    <x v="0"/>
    <x v="2"/>
  </r>
  <r>
    <s v="CH0385841447"/>
    <x v="0"/>
    <n v="1.8855"/>
    <x v="0"/>
    <x v="0"/>
    <x v="0"/>
    <x v="0"/>
    <s v="UBS0 04/24/25 Corp"/>
    <x v="18"/>
    <x v="0"/>
    <x v="3"/>
    <x v="0"/>
    <x v="2"/>
  </r>
  <r>
    <s v="CH0396727882"/>
    <x v="10"/>
    <n v="7.6315999999999997"/>
    <x v="0"/>
    <x v="10"/>
    <x v="2"/>
    <x v="2"/>
    <s v="LOIMUMA SW Equity"/>
    <x v="19"/>
    <x v="2"/>
    <x v="4"/>
    <x v="3"/>
    <x v="3"/>
  </r>
  <r>
    <s v="CH0413289155"/>
    <x v="9"/>
    <n v="3.9180000000000001"/>
    <x v="0"/>
    <x v="9"/>
    <x v="0"/>
    <x v="4"/>
    <s v="EXANE 0 10/22/2021 Corp"/>
    <x v="20"/>
    <x v="1"/>
    <x v="5"/>
    <x v="0"/>
    <x v="4"/>
  </r>
  <r>
    <s v="CH0413289155"/>
    <x v="0"/>
    <n v="3.6888999999999998"/>
    <x v="0"/>
    <x v="0"/>
    <x v="0"/>
    <x v="0"/>
    <s v="EXANE 0 10/22/2021 Corp"/>
    <x v="20"/>
    <x v="1"/>
    <x v="5"/>
    <x v="0"/>
    <x v="4"/>
  </r>
  <r>
    <s v="CH0432492467"/>
    <x v="2"/>
    <n v="0.97519999999999996"/>
    <x v="0"/>
    <x v="2"/>
    <x v="1"/>
    <x v="2"/>
    <s v="ALC SW Equity"/>
    <x v="21"/>
    <x v="0"/>
    <x v="0"/>
    <x v="2"/>
    <x v="0"/>
  </r>
  <r>
    <s v="CH0469130410"/>
    <x v="11"/>
    <n v="3.0160999999999998"/>
    <x v="0"/>
    <x v="11"/>
    <x v="3"/>
    <x v="4"/>
    <s v="EXANE 0 07/04/2022 Corp"/>
    <x v="22"/>
    <x v="3"/>
    <x v="6"/>
    <x v="0"/>
    <x v="5"/>
  </r>
  <r>
    <s v="CH0469130410"/>
    <x v="4"/>
    <n v="0.34"/>
    <x v="1"/>
    <x v="4"/>
    <x v="0"/>
    <x v="4"/>
    <s v="EXANE 0 07/04/2022 Corp"/>
    <x v="22"/>
    <x v="3"/>
    <x v="6"/>
    <x v="0"/>
    <x v="5"/>
  </r>
  <r>
    <s v="CH0469130410"/>
    <x v="12"/>
    <n v="0.48"/>
    <x v="1"/>
    <x v="12"/>
    <x v="0"/>
    <x v="4"/>
    <s v="EXANE 0 07/04/2022 Corp"/>
    <x v="22"/>
    <x v="3"/>
    <x v="6"/>
    <x v="0"/>
    <x v="5"/>
  </r>
  <r>
    <s v="CH0469130410"/>
    <x v="6"/>
    <n v="1.6"/>
    <x v="1"/>
    <x v="6"/>
    <x v="1"/>
    <x v="4"/>
    <s v="EXANE 0 07/04/2022 Corp"/>
    <x v="22"/>
    <x v="3"/>
    <x v="6"/>
    <x v="0"/>
    <x v="5"/>
  </r>
  <r>
    <s v="CH0469130410"/>
    <x v="13"/>
    <n v="2.9771000000000001"/>
    <x v="0"/>
    <x v="13"/>
    <x v="0"/>
    <x v="4"/>
    <s v="EXANE 0 07/04/2022 Corp"/>
    <x v="22"/>
    <x v="3"/>
    <x v="6"/>
    <x v="0"/>
    <x v="5"/>
  </r>
  <r>
    <s v="CH0469130410"/>
    <x v="14"/>
    <n v="3.6899000000000002"/>
    <x v="0"/>
    <x v="14"/>
    <x v="0"/>
    <x v="4"/>
    <s v="EXANE 0 07/04/2022 Corp"/>
    <x v="22"/>
    <x v="3"/>
    <x v="6"/>
    <x v="0"/>
    <x v="5"/>
  </r>
  <r>
    <s v="CH0469130410"/>
    <x v="9"/>
    <n v="2.9481999999999999"/>
    <x v="0"/>
    <x v="9"/>
    <x v="0"/>
    <x v="4"/>
    <s v="EXANE 0 07/04/2022 Corp"/>
    <x v="22"/>
    <x v="3"/>
    <x v="6"/>
    <x v="0"/>
    <x v="5"/>
  </r>
  <r>
    <s v="CH0469130410"/>
    <x v="0"/>
    <n v="2.8757000000000001"/>
    <x v="0"/>
    <x v="0"/>
    <x v="0"/>
    <x v="0"/>
    <s v="EXANE 0 07/04/2022 Corp"/>
    <x v="22"/>
    <x v="3"/>
    <x v="6"/>
    <x v="0"/>
    <x v="5"/>
  </r>
  <r>
    <s v="CH0469130410"/>
    <x v="15"/>
    <n v="2.9769000000000001"/>
    <x v="0"/>
    <x v="7"/>
    <x v="1"/>
    <x v="4"/>
    <s v="EXANE 0 07/04/2022 Corp"/>
    <x v="22"/>
    <x v="3"/>
    <x v="6"/>
    <x v="0"/>
    <x v="5"/>
  </r>
  <r>
    <s v="CH0469130410"/>
    <x v="16"/>
    <n v="3.0287000000000002"/>
    <x v="0"/>
    <x v="15"/>
    <x v="1"/>
    <x v="5"/>
    <s v="EXANE 0 07/04/2022 Corp"/>
    <x v="22"/>
    <x v="3"/>
    <x v="6"/>
    <x v="0"/>
    <x v="5"/>
  </r>
  <r>
    <s v="CH0469130410"/>
    <x v="17"/>
    <n v="5.0297999999999998"/>
    <x v="0"/>
    <x v="5"/>
    <x v="3"/>
    <x v="6"/>
    <s v="EXANE 0 07/04/2022 Corp"/>
    <x v="22"/>
    <x v="3"/>
    <x v="6"/>
    <x v="0"/>
    <x v="5"/>
  </r>
  <r>
    <s v="CH0469130410"/>
    <x v="18"/>
    <n v="2.9649999999999999"/>
    <x v="0"/>
    <x v="16"/>
    <x v="0"/>
    <x v="4"/>
    <s v="EXANE 0 07/04/2022 Corp"/>
    <x v="22"/>
    <x v="3"/>
    <x v="6"/>
    <x v="0"/>
    <x v="5"/>
  </r>
  <r>
    <s v="CH0469130410"/>
    <x v="19"/>
    <n v="4.8716999999999997"/>
    <x v="0"/>
    <x v="17"/>
    <x v="0"/>
    <x v="0"/>
    <s v="EXANE 0 07/04/2022 Corp"/>
    <x v="22"/>
    <x v="3"/>
    <x v="6"/>
    <x v="0"/>
    <x v="5"/>
  </r>
  <r>
    <s v="CH0478634105"/>
    <x v="4"/>
    <n v="0.45"/>
    <x v="1"/>
    <x v="4"/>
    <x v="0"/>
    <x v="4"/>
    <s v="AEVS SW Equity"/>
    <x v="23"/>
    <x v="0"/>
    <x v="0"/>
    <x v="2"/>
    <x v="0"/>
  </r>
  <r>
    <s v="CH0478634105"/>
    <x v="20"/>
    <n v="79.214100000000002"/>
    <x v="0"/>
    <x v="8"/>
    <x v="0"/>
    <x v="4"/>
    <s v="AEVS SW Equity"/>
    <x v="23"/>
    <x v="0"/>
    <x v="0"/>
    <x v="2"/>
    <x v="0"/>
  </r>
  <r>
    <s v="CH0478634105"/>
    <x v="21"/>
    <n v="52.905500000000004"/>
    <x v="0"/>
    <x v="8"/>
    <x v="0"/>
    <x v="4"/>
    <s v="AEVS SW Equity"/>
    <x v="23"/>
    <x v="0"/>
    <x v="0"/>
    <x v="2"/>
    <x v="0"/>
  </r>
  <r>
    <s v="DE000BAY0017"/>
    <x v="4"/>
    <n v="0.15"/>
    <x v="1"/>
    <x v="4"/>
    <x v="0"/>
    <x v="4"/>
    <s v="BAYN GR Equity"/>
    <x v="24"/>
    <x v="0"/>
    <x v="0"/>
    <x v="0"/>
    <x v="0"/>
  </r>
  <r>
    <s v="ES0105200002"/>
    <x v="6"/>
    <n v="0.01"/>
    <x v="1"/>
    <x v="6"/>
    <x v="1"/>
    <x v="4"/>
    <s v="ABG/P SM Equity"/>
    <x v="25"/>
    <x v="0"/>
    <x v="0"/>
    <x v="0"/>
    <x v="0"/>
  </r>
  <r>
    <s v="EUR/CHF 03/18/2020 Curncy"/>
    <x v="22"/>
    <n v="-35.475299999999997"/>
    <x v="0"/>
    <x v="18"/>
    <x v="1"/>
    <x v="4"/>
    <s v="EUR/CHF 03/18/2020 Curncy"/>
    <x v="26"/>
    <x v="4"/>
    <x v="7"/>
    <x v="0"/>
    <x v="0"/>
  </r>
  <r>
    <s v="EUR/CHF 03/18/2020 Curncy"/>
    <x v="15"/>
    <n v="-44.061100000000003"/>
    <x v="0"/>
    <x v="7"/>
    <x v="1"/>
    <x v="4"/>
    <s v="EUR/CHF 03/18/2020 Curncy"/>
    <x v="26"/>
    <x v="4"/>
    <x v="7"/>
    <x v="0"/>
    <x v="0"/>
  </r>
  <r>
    <s v="EUR/CHF 03/18/2020 Curncy"/>
    <x v="16"/>
    <n v="-41.4803"/>
    <x v="0"/>
    <x v="15"/>
    <x v="1"/>
    <x v="5"/>
    <s v="EUR/CHF 03/18/2020 Curncy"/>
    <x v="26"/>
    <x v="4"/>
    <x v="7"/>
    <x v="0"/>
    <x v="0"/>
  </r>
  <r>
    <s v="EUR/USD 03/18/2020 Curncy"/>
    <x v="11"/>
    <n v="-50.980600000000003"/>
    <x v="0"/>
    <x v="11"/>
    <x v="3"/>
    <x v="4"/>
    <s v="EUR/USD 03/18/2020 Curncy"/>
    <x v="27"/>
    <x v="4"/>
    <x v="7"/>
    <x v="0"/>
    <x v="0"/>
  </r>
  <r>
    <s v="EUR/USD 03/18/2020 Curncy"/>
    <x v="17"/>
    <n v="-23.380099999999999"/>
    <x v="0"/>
    <x v="5"/>
    <x v="3"/>
    <x v="6"/>
    <s v="EUR/USD 03/18/2020 Curncy"/>
    <x v="27"/>
    <x v="4"/>
    <x v="7"/>
    <x v="0"/>
    <x v="0"/>
  </r>
  <r>
    <s v="FR0000052292"/>
    <x v="4"/>
    <n v="0.03"/>
    <x v="1"/>
    <x v="4"/>
    <x v="0"/>
    <x v="4"/>
    <s v="RMS FP Equity"/>
    <x v="28"/>
    <x v="0"/>
    <x v="0"/>
    <x v="0"/>
    <x v="0"/>
  </r>
  <r>
    <s v="FR0000120271"/>
    <x v="4"/>
    <n v="0.24"/>
    <x v="1"/>
    <x v="4"/>
    <x v="0"/>
    <x v="4"/>
    <s v="FP FP Equity"/>
    <x v="29"/>
    <x v="0"/>
    <x v="0"/>
    <x v="0"/>
    <x v="0"/>
  </r>
  <r>
    <s v="FR0000120321"/>
    <x v="4"/>
    <n v="0.66"/>
    <x v="1"/>
    <x v="4"/>
    <x v="0"/>
    <x v="4"/>
    <s v="OR FP Equity"/>
    <x v="30"/>
    <x v="0"/>
    <x v="0"/>
    <x v="0"/>
    <x v="0"/>
  </r>
  <r>
    <s v="FR0000120578"/>
    <x v="4"/>
    <n v="0.43"/>
    <x v="1"/>
    <x v="4"/>
    <x v="0"/>
    <x v="4"/>
    <s v="SAN FP Equity"/>
    <x v="31"/>
    <x v="0"/>
    <x v="0"/>
    <x v="0"/>
    <x v="0"/>
  </r>
  <r>
    <s v="FR0000121014"/>
    <x v="4"/>
    <n v="0.42"/>
    <x v="1"/>
    <x v="4"/>
    <x v="0"/>
    <x v="4"/>
    <s v="MC FP Equity"/>
    <x v="32"/>
    <x v="0"/>
    <x v="0"/>
    <x v="0"/>
    <x v="0"/>
  </r>
  <r>
    <s v="FR0003999036"/>
    <x v="5"/>
    <n v="15.7904"/>
    <x v="0"/>
    <x v="5"/>
    <x v="0"/>
    <x v="4"/>
    <s v="Napo"/>
    <x v="33"/>
    <x v="1"/>
    <x v="2"/>
    <x v="0"/>
    <x v="6"/>
  </r>
  <r>
    <s v="FR0010208488"/>
    <x v="4"/>
    <n v="0.06"/>
    <x v="1"/>
    <x v="4"/>
    <x v="0"/>
    <x v="4"/>
    <s v="ENGI FP Equity"/>
    <x v="34"/>
    <x v="0"/>
    <x v="0"/>
    <x v="0"/>
    <x v="0"/>
  </r>
  <r>
    <s v="FR0013227113"/>
    <x v="0"/>
    <n v="0.67059999999999997"/>
    <x v="0"/>
    <x v="0"/>
    <x v="0"/>
    <x v="0"/>
    <s v="SOI FP Equity"/>
    <x v="35"/>
    <x v="0"/>
    <x v="0"/>
    <x v="0"/>
    <x v="0"/>
  </r>
  <r>
    <s v="FxFwd"/>
    <x v="3"/>
    <n v="-1.35"/>
    <x v="1"/>
    <x v="3"/>
    <x v="0"/>
    <x v="3"/>
    <s v="FxFwd"/>
    <x v="36"/>
    <x v="5"/>
    <x v="7"/>
    <x v="4"/>
    <x v="0"/>
  </r>
  <r>
    <s v="FxFwd"/>
    <x v="6"/>
    <n v="-28.55"/>
    <x v="1"/>
    <x v="6"/>
    <x v="1"/>
    <x v="4"/>
    <s v="FxFwd"/>
    <x v="36"/>
    <x v="5"/>
    <x v="7"/>
    <x v="4"/>
    <x v="0"/>
  </r>
  <r>
    <s v="GB00B03MLX29"/>
    <x v="6"/>
    <n v="1.66"/>
    <x v="1"/>
    <x v="6"/>
    <x v="1"/>
    <x v="4"/>
    <s v="RDSA NA Equity"/>
    <x v="37"/>
    <x v="0"/>
    <x v="0"/>
    <x v="0"/>
    <x v="0"/>
  </r>
  <r>
    <s v="GB00B03MLX29"/>
    <x v="16"/>
    <n v="0.84019999999999995"/>
    <x v="0"/>
    <x v="15"/>
    <x v="1"/>
    <x v="5"/>
    <s v="RDSA NA Equity"/>
    <x v="37"/>
    <x v="0"/>
    <x v="0"/>
    <x v="0"/>
    <x v="0"/>
  </r>
  <r>
    <s v="GB00B57TMD12"/>
    <x v="10"/>
    <n v="2.3717000000000001"/>
    <x v="0"/>
    <x v="10"/>
    <x v="2"/>
    <x v="2"/>
    <s v="LIOUKSI LN Equity"/>
    <x v="38"/>
    <x v="0"/>
    <x v="8"/>
    <x v="5"/>
    <x v="0"/>
  </r>
  <r>
    <s v="GB00B7BZB324"/>
    <x v="14"/>
    <n v="0.79330000000000001"/>
    <x v="0"/>
    <x v="14"/>
    <x v="0"/>
    <x v="4"/>
    <s v="LIOAIII LN Equity"/>
    <x v="39"/>
    <x v="0"/>
    <x v="9"/>
    <x v="5"/>
    <x v="0"/>
  </r>
  <r>
    <s v="GB00B7BZB324"/>
    <x v="10"/>
    <n v="4.0316999999999998"/>
    <x v="0"/>
    <x v="10"/>
    <x v="2"/>
    <x v="2"/>
    <s v="LIOAIII LN Equity"/>
    <x v="39"/>
    <x v="0"/>
    <x v="9"/>
    <x v="5"/>
    <x v="0"/>
  </r>
  <r>
    <s v="IE0005042456"/>
    <x v="10"/>
    <n v="2.7126999999999999"/>
    <x v="0"/>
    <x v="10"/>
    <x v="2"/>
    <x v="2"/>
    <s v="ISF LN Equity"/>
    <x v="40"/>
    <x v="0"/>
    <x v="8"/>
    <x v="5"/>
    <x v="0"/>
  </r>
  <r>
    <s v="IE0008471009"/>
    <x v="23"/>
    <n v="4.7706"/>
    <x v="0"/>
    <x v="19"/>
    <x v="0"/>
    <x v="4"/>
    <s v="EUN2 GR Equity"/>
    <x v="41"/>
    <x v="0"/>
    <x v="8"/>
    <x v="0"/>
    <x v="0"/>
  </r>
  <r>
    <s v="IE00B0M62S72"/>
    <x v="10"/>
    <n v="3.6153"/>
    <x v="0"/>
    <x v="10"/>
    <x v="2"/>
    <x v="2"/>
    <s v="IDVY NA Equity"/>
    <x v="42"/>
    <x v="0"/>
    <x v="8"/>
    <x v="0"/>
    <x v="0"/>
  </r>
  <r>
    <s v="IE00B42Z5J44"/>
    <x v="10"/>
    <n v="3.0581999999999998"/>
    <x v="0"/>
    <x v="10"/>
    <x v="2"/>
    <x v="2"/>
    <s v="IJPE LN Equity"/>
    <x v="43"/>
    <x v="0"/>
    <x v="10"/>
    <x v="0"/>
    <x v="0"/>
  </r>
  <r>
    <s v="IE00B578XK25"/>
    <x v="9"/>
    <n v="0.72719999999999996"/>
    <x v="0"/>
    <x v="9"/>
    <x v="0"/>
    <x v="4"/>
    <s v="GLGAAXU ID Equity"/>
    <x v="44"/>
    <x v="0"/>
    <x v="10"/>
    <x v="0"/>
    <x v="0"/>
  </r>
  <r>
    <s v="IE00B59XD059"/>
    <x v="11"/>
    <n v="5.0651999999999999"/>
    <x v="0"/>
    <x v="11"/>
    <x v="3"/>
    <x v="4"/>
    <s v="MUZSDUA ID Equity"/>
    <x v="45"/>
    <x v="3"/>
    <x v="11"/>
    <x v="3"/>
    <x v="0"/>
  </r>
  <r>
    <s v="IE00B5BHGW80"/>
    <x v="4"/>
    <n v="0.51"/>
    <x v="1"/>
    <x v="4"/>
    <x v="0"/>
    <x v="4"/>
    <s v="MUZSDEA ID Equity"/>
    <x v="46"/>
    <x v="3"/>
    <x v="11"/>
    <x v="0"/>
    <x v="0"/>
  </r>
  <r>
    <s v="IE00B5BHGW80"/>
    <x v="12"/>
    <n v="0.69"/>
    <x v="1"/>
    <x v="12"/>
    <x v="0"/>
    <x v="4"/>
    <s v="MUZSDEA ID Equity"/>
    <x v="46"/>
    <x v="3"/>
    <x v="11"/>
    <x v="0"/>
    <x v="0"/>
  </r>
  <r>
    <s v="IE00B5BHGW80"/>
    <x v="6"/>
    <n v="1.53"/>
    <x v="1"/>
    <x v="6"/>
    <x v="1"/>
    <x v="4"/>
    <s v="MUZSDEA ID Equity"/>
    <x v="46"/>
    <x v="3"/>
    <x v="11"/>
    <x v="0"/>
    <x v="0"/>
  </r>
  <r>
    <s v="IE00B5BHGW80"/>
    <x v="13"/>
    <n v="4.1081000000000003"/>
    <x v="0"/>
    <x v="13"/>
    <x v="0"/>
    <x v="4"/>
    <s v="MUZSDEA ID Equity"/>
    <x v="46"/>
    <x v="3"/>
    <x v="11"/>
    <x v="0"/>
    <x v="0"/>
  </r>
  <r>
    <s v="IE00B5BHGW80"/>
    <x v="14"/>
    <n v="8.5922000000000001"/>
    <x v="0"/>
    <x v="14"/>
    <x v="0"/>
    <x v="4"/>
    <s v="MUZSDEA ID Equity"/>
    <x v="46"/>
    <x v="3"/>
    <x v="11"/>
    <x v="0"/>
    <x v="0"/>
  </r>
  <r>
    <s v="IE00B5BHGW80"/>
    <x v="9"/>
    <n v="6.0846"/>
    <x v="0"/>
    <x v="9"/>
    <x v="0"/>
    <x v="4"/>
    <s v="MUZSDEA ID Equity"/>
    <x v="46"/>
    <x v="3"/>
    <x v="11"/>
    <x v="0"/>
    <x v="0"/>
  </r>
  <r>
    <s v="IE00B5BHGW80"/>
    <x v="0"/>
    <n v="5.3624999999999998"/>
    <x v="0"/>
    <x v="0"/>
    <x v="0"/>
    <x v="0"/>
    <s v="MUZSDEA ID Equity"/>
    <x v="46"/>
    <x v="3"/>
    <x v="11"/>
    <x v="0"/>
    <x v="0"/>
  </r>
  <r>
    <s v="IE00B5BHGW80"/>
    <x v="24"/>
    <n v="6.9302999999999999"/>
    <x v="0"/>
    <x v="20"/>
    <x v="0"/>
    <x v="7"/>
    <s v="MUZSDEA ID Equity"/>
    <x v="46"/>
    <x v="3"/>
    <x v="11"/>
    <x v="0"/>
    <x v="0"/>
  </r>
  <r>
    <s v="IE00B685HQ37"/>
    <x v="10"/>
    <n v="2.8184"/>
    <x v="0"/>
    <x v="10"/>
    <x v="2"/>
    <x v="2"/>
    <s v="MUZSDGI ID Equity"/>
    <x v="47"/>
    <x v="3"/>
    <x v="11"/>
    <x v="5"/>
    <x v="0"/>
  </r>
  <r>
    <s v="IE00B96BJC40"/>
    <x v="22"/>
    <n v="11.9625"/>
    <x v="0"/>
    <x v="18"/>
    <x v="1"/>
    <x v="4"/>
    <s v="MUHCHAS ID Equity"/>
    <x v="48"/>
    <x v="3"/>
    <x v="11"/>
    <x v="2"/>
    <x v="0"/>
  </r>
  <r>
    <s v="IE00B96BJC40"/>
    <x v="15"/>
    <n v="4.3491999999999997"/>
    <x v="0"/>
    <x v="7"/>
    <x v="1"/>
    <x v="4"/>
    <s v="MUHCHAS ID Equity"/>
    <x v="48"/>
    <x v="3"/>
    <x v="11"/>
    <x v="2"/>
    <x v="0"/>
  </r>
  <r>
    <s v="IE00B96BJC40"/>
    <x v="16"/>
    <n v="5.8894000000000002"/>
    <x v="0"/>
    <x v="15"/>
    <x v="1"/>
    <x v="5"/>
    <s v="MUHCHAS ID Equity"/>
    <x v="48"/>
    <x v="3"/>
    <x v="11"/>
    <x v="2"/>
    <x v="0"/>
  </r>
  <r>
    <s v="IE00BD08G390"/>
    <x v="13"/>
    <n v="3.0131000000000001"/>
    <x v="0"/>
    <x v="13"/>
    <x v="0"/>
    <x v="4"/>
    <s v="MLAQSEI ID Equity"/>
    <x v="49"/>
    <x v="1"/>
    <x v="12"/>
    <x v="0"/>
    <x v="0"/>
  </r>
  <r>
    <s v="IE00BD08G390"/>
    <x v="14"/>
    <n v="2.9876"/>
    <x v="0"/>
    <x v="14"/>
    <x v="0"/>
    <x v="4"/>
    <s v="MLAQSEI ID Equity"/>
    <x v="49"/>
    <x v="1"/>
    <x v="12"/>
    <x v="0"/>
    <x v="0"/>
  </r>
  <r>
    <s v="IE00BD08G390"/>
    <x v="9"/>
    <n v="2.9839000000000002"/>
    <x v="0"/>
    <x v="9"/>
    <x v="0"/>
    <x v="4"/>
    <s v="MLAQSEI ID Equity"/>
    <x v="49"/>
    <x v="1"/>
    <x v="12"/>
    <x v="0"/>
    <x v="0"/>
  </r>
  <r>
    <s v="IE00BD08G390"/>
    <x v="0"/>
    <n v="2.9891999999999999"/>
    <x v="0"/>
    <x v="0"/>
    <x v="0"/>
    <x v="0"/>
    <s v="MLAQSEI ID Equity"/>
    <x v="49"/>
    <x v="1"/>
    <x v="12"/>
    <x v="0"/>
    <x v="0"/>
  </r>
  <r>
    <s v="IE00BD08G390"/>
    <x v="18"/>
    <n v="3.0007999999999999"/>
    <x v="0"/>
    <x v="16"/>
    <x v="0"/>
    <x v="4"/>
    <s v="MLAQSEI ID Equity"/>
    <x v="49"/>
    <x v="1"/>
    <x v="12"/>
    <x v="0"/>
    <x v="0"/>
  </r>
  <r>
    <s v="IE00BD08G390"/>
    <x v="19"/>
    <n v="2.9584000000000001"/>
    <x v="0"/>
    <x v="17"/>
    <x v="0"/>
    <x v="0"/>
    <s v="MLAQSEI ID Equity"/>
    <x v="49"/>
    <x v="1"/>
    <x v="12"/>
    <x v="0"/>
    <x v="0"/>
  </r>
  <r>
    <s v="IE00BD08G515"/>
    <x v="15"/>
    <n v="2.9687999999999999"/>
    <x v="0"/>
    <x v="7"/>
    <x v="1"/>
    <x v="4"/>
    <s v="MLAQSCI ID Equity"/>
    <x v="50"/>
    <x v="1"/>
    <x v="12"/>
    <x v="2"/>
    <x v="0"/>
  </r>
  <r>
    <s v="IE00BD08G515"/>
    <x v="16"/>
    <n v="3.0051000000000001"/>
    <x v="0"/>
    <x v="15"/>
    <x v="1"/>
    <x v="5"/>
    <s v="MLAQSCI ID Equity"/>
    <x v="50"/>
    <x v="1"/>
    <x v="12"/>
    <x v="2"/>
    <x v="0"/>
  </r>
  <r>
    <s v="IE00BD08G622"/>
    <x v="11"/>
    <n v="2.9722"/>
    <x v="0"/>
    <x v="11"/>
    <x v="3"/>
    <x v="4"/>
    <s v="MLAQSUI ID Equity"/>
    <x v="51"/>
    <x v="1"/>
    <x v="12"/>
    <x v="3"/>
    <x v="0"/>
  </r>
  <r>
    <s v="IE00BD08G622"/>
    <x v="17"/>
    <n v="2.8595999999999999"/>
    <x v="0"/>
    <x v="5"/>
    <x v="3"/>
    <x v="6"/>
    <s v="MLAQSUI ID Equity"/>
    <x v="51"/>
    <x v="1"/>
    <x v="12"/>
    <x v="3"/>
    <x v="0"/>
  </r>
  <r>
    <s v="IE00BD85PG80"/>
    <x v="11"/>
    <n v="3.21"/>
    <x v="0"/>
    <x v="11"/>
    <x v="3"/>
    <x v="4"/>
    <s v="LIARBA5 ID Equity"/>
    <x v="52"/>
    <x v="3"/>
    <x v="13"/>
    <x v="0"/>
    <x v="0"/>
  </r>
  <r>
    <s v="IE00BD85PG80"/>
    <x v="12"/>
    <n v="0.49"/>
    <x v="1"/>
    <x v="12"/>
    <x v="0"/>
    <x v="4"/>
    <s v="LIARBA5 ID Equity"/>
    <x v="52"/>
    <x v="3"/>
    <x v="13"/>
    <x v="0"/>
    <x v="0"/>
  </r>
  <r>
    <s v="IE00BD85PG80"/>
    <x v="6"/>
    <n v="0.61"/>
    <x v="1"/>
    <x v="6"/>
    <x v="1"/>
    <x v="4"/>
    <s v="LIARBA5 ID Equity"/>
    <x v="52"/>
    <x v="3"/>
    <x v="13"/>
    <x v="0"/>
    <x v="0"/>
  </r>
  <r>
    <s v="IE00BD85PG80"/>
    <x v="13"/>
    <n v="2.8744999999999998"/>
    <x v="0"/>
    <x v="13"/>
    <x v="0"/>
    <x v="4"/>
    <s v="LIARBA5 ID Equity"/>
    <x v="52"/>
    <x v="3"/>
    <x v="13"/>
    <x v="0"/>
    <x v="0"/>
  </r>
  <r>
    <s v="IE00BD85PG80"/>
    <x v="14"/>
    <n v="3.9262000000000001"/>
    <x v="0"/>
    <x v="14"/>
    <x v="0"/>
    <x v="4"/>
    <s v="LIARBA5 ID Equity"/>
    <x v="52"/>
    <x v="3"/>
    <x v="13"/>
    <x v="0"/>
    <x v="0"/>
  </r>
  <r>
    <s v="IE00BD85PG80"/>
    <x v="9"/>
    <n v="3.1608999999999998"/>
    <x v="0"/>
    <x v="9"/>
    <x v="0"/>
    <x v="4"/>
    <s v="LIARBA5 ID Equity"/>
    <x v="52"/>
    <x v="3"/>
    <x v="13"/>
    <x v="0"/>
    <x v="0"/>
  </r>
  <r>
    <s v="IE00BD85PG80"/>
    <x v="0"/>
    <n v="2.9723999999999999"/>
    <x v="0"/>
    <x v="0"/>
    <x v="0"/>
    <x v="0"/>
    <s v="LIARBA5 ID Equity"/>
    <x v="52"/>
    <x v="3"/>
    <x v="13"/>
    <x v="0"/>
    <x v="0"/>
  </r>
  <r>
    <s v="IE00BD85PG80"/>
    <x v="15"/>
    <n v="2.8571"/>
    <x v="0"/>
    <x v="7"/>
    <x v="1"/>
    <x v="4"/>
    <s v="LIARBA5 ID Equity"/>
    <x v="52"/>
    <x v="3"/>
    <x v="13"/>
    <x v="0"/>
    <x v="0"/>
  </r>
  <r>
    <s v="IE00BD85PG80"/>
    <x v="16"/>
    <n v="3.0865999999999998"/>
    <x v="0"/>
    <x v="15"/>
    <x v="1"/>
    <x v="5"/>
    <s v="LIARBA5 ID Equity"/>
    <x v="52"/>
    <x v="3"/>
    <x v="13"/>
    <x v="0"/>
    <x v="0"/>
  </r>
  <r>
    <s v="IE00BD85PG80"/>
    <x v="18"/>
    <n v="3.1048"/>
    <x v="0"/>
    <x v="16"/>
    <x v="0"/>
    <x v="4"/>
    <s v="LIARBA5 ID Equity"/>
    <x v="52"/>
    <x v="3"/>
    <x v="13"/>
    <x v="0"/>
    <x v="0"/>
  </r>
  <r>
    <s v="IE00BFMNV207"/>
    <x v="1"/>
    <n v="10.137600000000001"/>
    <x v="0"/>
    <x v="1"/>
    <x v="0"/>
    <x v="1"/>
    <s v="BLWEERE ID Equity"/>
    <x v="53"/>
    <x v="0"/>
    <x v="8"/>
    <x v="0"/>
    <x v="0"/>
  </r>
  <r>
    <s v="IE00BYWRQH52"/>
    <x v="10"/>
    <n v="2.1322999999999999"/>
    <x v="0"/>
    <x v="10"/>
    <x v="2"/>
    <x v="2"/>
    <s v="LISBA5A ID Equity"/>
    <x v="54"/>
    <x v="3"/>
    <x v="13"/>
    <x v="0"/>
    <x v="0"/>
  </r>
  <r>
    <s v="IE00BZ6VNS04"/>
    <x v="12"/>
    <n v="0.63"/>
    <x v="1"/>
    <x v="12"/>
    <x v="0"/>
    <x v="4"/>
    <s v="TBWLSIE ID Equity"/>
    <x v="55"/>
    <x v="1"/>
    <x v="5"/>
    <x v="0"/>
    <x v="0"/>
  </r>
  <r>
    <s v="IE00BZ6VNS04"/>
    <x v="6"/>
    <n v="1.41"/>
    <x v="1"/>
    <x v="6"/>
    <x v="1"/>
    <x v="4"/>
    <s v="TBWLSIE ID Equity"/>
    <x v="55"/>
    <x v="1"/>
    <x v="5"/>
    <x v="0"/>
    <x v="0"/>
  </r>
  <r>
    <s v="IE00BZ6VNS04"/>
    <x v="13"/>
    <n v="4.0106999999999999"/>
    <x v="0"/>
    <x v="13"/>
    <x v="0"/>
    <x v="4"/>
    <s v="TBWLSIE ID Equity"/>
    <x v="55"/>
    <x v="1"/>
    <x v="5"/>
    <x v="0"/>
    <x v="0"/>
  </r>
  <r>
    <s v="IE00BZ6VNS04"/>
    <x v="14"/>
    <n v="4.2478999999999996"/>
    <x v="0"/>
    <x v="14"/>
    <x v="0"/>
    <x v="4"/>
    <s v="TBWLSIE ID Equity"/>
    <x v="55"/>
    <x v="1"/>
    <x v="5"/>
    <x v="0"/>
    <x v="0"/>
  </r>
  <r>
    <s v="IE00BZ6VNS04"/>
    <x v="9"/>
    <n v="4.6383999999999999"/>
    <x v="0"/>
    <x v="9"/>
    <x v="0"/>
    <x v="4"/>
    <s v="TBWLSIE ID Equity"/>
    <x v="55"/>
    <x v="1"/>
    <x v="5"/>
    <x v="0"/>
    <x v="0"/>
  </r>
  <r>
    <s v="IE00BZ6VNS04"/>
    <x v="0"/>
    <n v="2.5383"/>
    <x v="0"/>
    <x v="0"/>
    <x v="0"/>
    <x v="0"/>
    <s v="TBWLSIE ID Equity"/>
    <x v="55"/>
    <x v="1"/>
    <x v="5"/>
    <x v="0"/>
    <x v="0"/>
  </r>
  <r>
    <s v="IE00BZ6VNS04"/>
    <x v="15"/>
    <n v="4.4722"/>
    <x v="0"/>
    <x v="7"/>
    <x v="1"/>
    <x v="4"/>
    <s v="TBWLSIE ID Equity"/>
    <x v="55"/>
    <x v="1"/>
    <x v="5"/>
    <x v="0"/>
    <x v="0"/>
  </r>
  <r>
    <s v="IE00BZ6VNS04"/>
    <x v="16"/>
    <n v="3.6335999999999999"/>
    <x v="0"/>
    <x v="15"/>
    <x v="1"/>
    <x v="5"/>
    <s v="TBWLSIE ID Equity"/>
    <x v="55"/>
    <x v="1"/>
    <x v="5"/>
    <x v="0"/>
    <x v="0"/>
  </r>
  <r>
    <s v="IE00BZ6VNS04"/>
    <x v="24"/>
    <n v="4.9105999999999996"/>
    <x v="0"/>
    <x v="20"/>
    <x v="0"/>
    <x v="7"/>
    <s v="TBWLSIE ID Equity"/>
    <x v="55"/>
    <x v="1"/>
    <x v="5"/>
    <x v="0"/>
    <x v="0"/>
  </r>
  <r>
    <s v="IE00BZ6VNS04"/>
    <x v="18"/>
    <n v="3.3233999999999999"/>
    <x v="0"/>
    <x v="16"/>
    <x v="0"/>
    <x v="4"/>
    <s v="TBWLSIE ID Equity"/>
    <x v="55"/>
    <x v="1"/>
    <x v="5"/>
    <x v="0"/>
    <x v="0"/>
  </r>
  <r>
    <s v="JE00B1VS3770"/>
    <x v="10"/>
    <n v="2.0943999999999998"/>
    <x v="0"/>
    <x v="10"/>
    <x v="2"/>
    <x v="2"/>
    <s v="PHGP LN Equity"/>
    <x v="56"/>
    <x v="1"/>
    <x v="2"/>
    <x v="5"/>
    <x v="0"/>
  </r>
  <r>
    <s v="JE00B588CD74"/>
    <x v="10"/>
    <n v="4.3037999999999998"/>
    <x v="0"/>
    <x v="10"/>
    <x v="2"/>
    <x v="2"/>
    <s v="SGBS LN Equity"/>
    <x v="57"/>
    <x v="1"/>
    <x v="2"/>
    <x v="3"/>
    <x v="0"/>
  </r>
  <r>
    <s v="LU0646914142"/>
    <x v="4"/>
    <n v="0.55000000000000004"/>
    <x v="1"/>
    <x v="4"/>
    <x v="0"/>
    <x v="4"/>
    <s v="AREIIBA LX Equity"/>
    <x v="58"/>
    <x v="3"/>
    <x v="14"/>
    <x v="0"/>
    <x v="0"/>
  </r>
  <r>
    <s v="LU0646914142"/>
    <x v="12"/>
    <n v="0.55000000000000004"/>
    <x v="1"/>
    <x v="12"/>
    <x v="0"/>
    <x v="4"/>
    <s v="AREIIBA LX Equity"/>
    <x v="58"/>
    <x v="3"/>
    <x v="14"/>
    <x v="0"/>
    <x v="0"/>
  </r>
  <r>
    <s v="LU0646914142"/>
    <x v="13"/>
    <n v="5.3556999999999997"/>
    <x v="0"/>
    <x v="13"/>
    <x v="0"/>
    <x v="4"/>
    <s v="AREIIBA LX Equity"/>
    <x v="58"/>
    <x v="3"/>
    <x v="14"/>
    <x v="0"/>
    <x v="0"/>
  </r>
  <r>
    <s v="LU0646914142"/>
    <x v="14"/>
    <n v="5.9741"/>
    <x v="0"/>
    <x v="14"/>
    <x v="0"/>
    <x v="4"/>
    <s v="AREIIBA LX Equity"/>
    <x v="58"/>
    <x v="3"/>
    <x v="14"/>
    <x v="0"/>
    <x v="0"/>
  </r>
  <r>
    <s v="LU0646914142"/>
    <x v="9"/>
    <n v="7.2179000000000002"/>
    <x v="0"/>
    <x v="9"/>
    <x v="0"/>
    <x v="4"/>
    <s v="AREIIBA LX Equity"/>
    <x v="58"/>
    <x v="3"/>
    <x v="14"/>
    <x v="0"/>
    <x v="0"/>
  </r>
  <r>
    <s v="LU0646914142"/>
    <x v="23"/>
    <n v="23.224499999999999"/>
    <x v="0"/>
    <x v="19"/>
    <x v="0"/>
    <x v="4"/>
    <s v="AREIIBA LX Equity"/>
    <x v="58"/>
    <x v="3"/>
    <x v="14"/>
    <x v="0"/>
    <x v="0"/>
  </r>
  <r>
    <s v="LU0646914142"/>
    <x v="0"/>
    <n v="2.7964000000000002"/>
    <x v="0"/>
    <x v="0"/>
    <x v="0"/>
    <x v="0"/>
    <s v="AREIIBA LX Equity"/>
    <x v="58"/>
    <x v="3"/>
    <x v="14"/>
    <x v="0"/>
    <x v="0"/>
  </r>
  <r>
    <s v="LU0646914142"/>
    <x v="15"/>
    <n v="6.4264000000000001"/>
    <x v="0"/>
    <x v="7"/>
    <x v="1"/>
    <x v="4"/>
    <s v="AREIIBA LX Equity"/>
    <x v="58"/>
    <x v="3"/>
    <x v="14"/>
    <x v="0"/>
    <x v="0"/>
  </r>
  <r>
    <s v="LU0646914142"/>
    <x v="16"/>
    <n v="6.6715999999999998"/>
    <x v="0"/>
    <x v="15"/>
    <x v="1"/>
    <x v="5"/>
    <s v="AREIIBA LX Equity"/>
    <x v="58"/>
    <x v="3"/>
    <x v="14"/>
    <x v="0"/>
    <x v="0"/>
  </r>
  <r>
    <s v="LU0646914142"/>
    <x v="18"/>
    <n v="6.0567000000000002"/>
    <x v="0"/>
    <x v="16"/>
    <x v="0"/>
    <x v="4"/>
    <s v="AREIIBA LX Equity"/>
    <x v="58"/>
    <x v="3"/>
    <x v="14"/>
    <x v="0"/>
    <x v="0"/>
  </r>
  <r>
    <s v="LU1143051891"/>
    <x v="6"/>
    <n v="2.11"/>
    <x v="1"/>
    <x v="6"/>
    <x v="1"/>
    <x v="4"/>
    <s v="ARHACHF LX Equity"/>
    <x v="59"/>
    <x v="3"/>
    <x v="14"/>
    <x v="2"/>
    <x v="0"/>
  </r>
  <r>
    <s v="LU1628003706"/>
    <x v="13"/>
    <n v="3.7113999999999998"/>
    <x v="0"/>
    <x v="13"/>
    <x v="0"/>
    <x v="4"/>
    <s v="TFCFI1E LX Equity"/>
    <x v="60"/>
    <x v="1"/>
    <x v="12"/>
    <x v="0"/>
    <x v="0"/>
  </r>
  <r>
    <s v="LU1628003706"/>
    <x v="14"/>
    <n v="5.0599999999999996"/>
    <x v="0"/>
    <x v="14"/>
    <x v="0"/>
    <x v="4"/>
    <s v="TFCFI1E LX Equity"/>
    <x v="60"/>
    <x v="1"/>
    <x v="12"/>
    <x v="0"/>
    <x v="0"/>
  </r>
  <r>
    <s v="LU1628003706"/>
    <x v="9"/>
    <n v="4.1163999999999996"/>
    <x v="0"/>
    <x v="9"/>
    <x v="0"/>
    <x v="4"/>
    <s v="TFCFI1E LX Equity"/>
    <x v="60"/>
    <x v="1"/>
    <x v="12"/>
    <x v="0"/>
    <x v="0"/>
  </r>
  <r>
    <s v="LU1628003706"/>
    <x v="0"/>
    <n v="3.9725999999999999"/>
    <x v="0"/>
    <x v="0"/>
    <x v="0"/>
    <x v="0"/>
    <s v="TFCFI1E LX Equity"/>
    <x v="60"/>
    <x v="1"/>
    <x v="12"/>
    <x v="0"/>
    <x v="0"/>
  </r>
  <r>
    <s v="LU1628003706"/>
    <x v="15"/>
    <n v="3.7111999999999998"/>
    <x v="0"/>
    <x v="7"/>
    <x v="1"/>
    <x v="4"/>
    <s v="TFCFI1E LX Equity"/>
    <x v="60"/>
    <x v="1"/>
    <x v="12"/>
    <x v="0"/>
    <x v="0"/>
  </r>
  <r>
    <s v="LU1628003706"/>
    <x v="16"/>
    <n v="4.0068999999999999"/>
    <x v="0"/>
    <x v="15"/>
    <x v="1"/>
    <x v="5"/>
    <s v="TFCFI1E LX Equity"/>
    <x v="60"/>
    <x v="1"/>
    <x v="12"/>
    <x v="0"/>
    <x v="0"/>
  </r>
  <r>
    <s v="LU1628003706"/>
    <x v="18"/>
    <n v="3.9357000000000002"/>
    <x v="0"/>
    <x v="16"/>
    <x v="0"/>
    <x v="4"/>
    <s v="TFCFI1E LX Equity"/>
    <x v="60"/>
    <x v="1"/>
    <x v="12"/>
    <x v="0"/>
    <x v="0"/>
  </r>
  <r>
    <s v="LU1628003706"/>
    <x v="10"/>
    <n v="5.6143000000000001"/>
    <x v="0"/>
    <x v="10"/>
    <x v="2"/>
    <x v="2"/>
    <s v="TFCFI1E LX Equity"/>
    <x v="60"/>
    <x v="1"/>
    <x v="12"/>
    <x v="0"/>
    <x v="0"/>
  </r>
  <r>
    <s v="LU1628004001"/>
    <x v="11"/>
    <n v="4.5164999999999997"/>
    <x v="0"/>
    <x v="11"/>
    <x v="3"/>
    <x v="4"/>
    <s v="TFCFI1U LX Equity"/>
    <x v="61"/>
    <x v="1"/>
    <x v="12"/>
    <x v="3"/>
    <x v="0"/>
  </r>
  <r>
    <s v="LU1628004183"/>
    <x v="4"/>
    <n v="0.48"/>
    <x v="1"/>
    <x v="4"/>
    <x v="0"/>
    <x v="4"/>
    <s v="TFCFR1E LX Equity"/>
    <x v="62"/>
    <x v="1"/>
    <x v="12"/>
    <x v="0"/>
    <x v="0"/>
  </r>
  <r>
    <s v="LU1628004183"/>
    <x v="3"/>
    <n v="0.69"/>
    <x v="1"/>
    <x v="3"/>
    <x v="0"/>
    <x v="3"/>
    <s v="TFCFR1E LX Equity"/>
    <x v="62"/>
    <x v="1"/>
    <x v="12"/>
    <x v="0"/>
    <x v="0"/>
  </r>
  <r>
    <s v="LU1628004183"/>
    <x v="12"/>
    <n v="0.61"/>
    <x v="1"/>
    <x v="12"/>
    <x v="0"/>
    <x v="4"/>
    <s v="TFCFR1E LX Equity"/>
    <x v="62"/>
    <x v="1"/>
    <x v="12"/>
    <x v="0"/>
    <x v="0"/>
  </r>
  <r>
    <s v="LU1628004183"/>
    <x v="6"/>
    <n v="1.82"/>
    <x v="1"/>
    <x v="6"/>
    <x v="1"/>
    <x v="4"/>
    <s v="TFCFR1E LX Equity"/>
    <x v="62"/>
    <x v="1"/>
    <x v="12"/>
    <x v="0"/>
    <x v="0"/>
  </r>
  <r>
    <s v="LU1693257310"/>
    <x v="4"/>
    <n v="0.66"/>
    <x v="1"/>
    <x v="4"/>
    <x v="0"/>
    <x v="4"/>
    <s v="ESLDILA LX Equity"/>
    <x v="63"/>
    <x v="1"/>
    <x v="15"/>
    <x v="0"/>
    <x v="0"/>
  </r>
  <r>
    <s v="LU1693257310"/>
    <x v="12"/>
    <n v="0.65"/>
    <x v="1"/>
    <x v="12"/>
    <x v="0"/>
    <x v="4"/>
    <s v="ESLDILA LX Equity"/>
    <x v="63"/>
    <x v="1"/>
    <x v="15"/>
    <x v="0"/>
    <x v="0"/>
  </r>
  <r>
    <s v="LU1693257310"/>
    <x v="6"/>
    <n v="1.83"/>
    <x v="1"/>
    <x v="6"/>
    <x v="1"/>
    <x v="4"/>
    <s v="ESLDILA LX Equity"/>
    <x v="63"/>
    <x v="1"/>
    <x v="15"/>
    <x v="0"/>
    <x v="0"/>
  </r>
  <r>
    <s v="LU1693257310"/>
    <x v="1"/>
    <n v="20.555299999999999"/>
    <x v="0"/>
    <x v="1"/>
    <x v="0"/>
    <x v="1"/>
    <s v="ESLDILA LX Equity"/>
    <x v="63"/>
    <x v="1"/>
    <x v="15"/>
    <x v="0"/>
    <x v="0"/>
  </r>
  <r>
    <s v="LU1693257310"/>
    <x v="13"/>
    <n v="5.3136999999999999"/>
    <x v="0"/>
    <x v="13"/>
    <x v="0"/>
    <x v="4"/>
    <s v="ESLDILA LX Equity"/>
    <x v="63"/>
    <x v="1"/>
    <x v="15"/>
    <x v="0"/>
    <x v="0"/>
  </r>
  <r>
    <s v="LU1693257310"/>
    <x v="9"/>
    <n v="3.1394000000000002"/>
    <x v="0"/>
    <x v="9"/>
    <x v="0"/>
    <x v="4"/>
    <s v="ESLDILA LX Equity"/>
    <x v="63"/>
    <x v="1"/>
    <x v="15"/>
    <x v="0"/>
    <x v="0"/>
  </r>
  <r>
    <s v="LU1693257310"/>
    <x v="5"/>
    <n v="3.2757000000000001"/>
    <x v="0"/>
    <x v="5"/>
    <x v="0"/>
    <x v="4"/>
    <s v="ESLDILA LX Equity"/>
    <x v="63"/>
    <x v="1"/>
    <x v="15"/>
    <x v="0"/>
    <x v="0"/>
  </r>
  <r>
    <s v="LU1693257310"/>
    <x v="18"/>
    <n v="4.4635999999999996"/>
    <x v="0"/>
    <x v="16"/>
    <x v="0"/>
    <x v="4"/>
    <s v="ESLDILA LX Equity"/>
    <x v="63"/>
    <x v="1"/>
    <x v="15"/>
    <x v="0"/>
    <x v="0"/>
  </r>
  <r>
    <s v="LU1693257310"/>
    <x v="10"/>
    <n v="10.6715"/>
    <x v="0"/>
    <x v="10"/>
    <x v="2"/>
    <x v="2"/>
    <s v="ESLDILA LX Equity"/>
    <x v="63"/>
    <x v="1"/>
    <x v="15"/>
    <x v="0"/>
    <x v="0"/>
  </r>
  <r>
    <s v="LU1901202280"/>
    <x v="11"/>
    <n v="23.208400000000001"/>
    <x v="0"/>
    <x v="11"/>
    <x v="3"/>
    <x v="4"/>
    <s v="DREQUIA LX Equity"/>
    <x v="64"/>
    <x v="0"/>
    <x v="16"/>
    <x v="0"/>
    <x v="0"/>
  </r>
  <r>
    <s v="LU1901202280"/>
    <x v="4"/>
    <n v="0.87"/>
    <x v="1"/>
    <x v="4"/>
    <x v="0"/>
    <x v="4"/>
    <s v="DREQUIA LX Equity"/>
    <x v="64"/>
    <x v="0"/>
    <x v="16"/>
    <x v="0"/>
    <x v="0"/>
  </r>
  <r>
    <s v="LU1901202280"/>
    <x v="3"/>
    <n v="2.79"/>
    <x v="1"/>
    <x v="3"/>
    <x v="0"/>
    <x v="3"/>
    <s v="DREQUIA LX Equity"/>
    <x v="64"/>
    <x v="0"/>
    <x v="16"/>
    <x v="0"/>
    <x v="0"/>
  </r>
  <r>
    <s v="LU1901202280"/>
    <x v="12"/>
    <n v="2.79"/>
    <x v="1"/>
    <x v="12"/>
    <x v="0"/>
    <x v="4"/>
    <s v="DREQUIA LX Equity"/>
    <x v="64"/>
    <x v="0"/>
    <x v="16"/>
    <x v="0"/>
    <x v="0"/>
  </r>
  <r>
    <s v="LU1901202280"/>
    <x v="6"/>
    <n v="5.81"/>
    <x v="1"/>
    <x v="6"/>
    <x v="1"/>
    <x v="4"/>
    <s v="DREQUIA LX Equity"/>
    <x v="64"/>
    <x v="0"/>
    <x v="16"/>
    <x v="0"/>
    <x v="0"/>
  </r>
  <r>
    <s v="LU1901202280"/>
    <x v="22"/>
    <n v="20.187999999999999"/>
    <x v="0"/>
    <x v="18"/>
    <x v="1"/>
    <x v="4"/>
    <s v="DREQUIA LX Equity"/>
    <x v="64"/>
    <x v="0"/>
    <x v="16"/>
    <x v="0"/>
    <x v="0"/>
  </r>
  <r>
    <s v="LU1901202280"/>
    <x v="1"/>
    <n v="14.6136"/>
    <x v="0"/>
    <x v="1"/>
    <x v="0"/>
    <x v="1"/>
    <s v="DREQUIA LX Equity"/>
    <x v="64"/>
    <x v="0"/>
    <x v="16"/>
    <x v="0"/>
    <x v="0"/>
  </r>
  <r>
    <s v="LU1901202280"/>
    <x v="13"/>
    <n v="21.185600000000001"/>
    <x v="0"/>
    <x v="13"/>
    <x v="0"/>
    <x v="4"/>
    <s v="DREQUIA LX Equity"/>
    <x v="64"/>
    <x v="0"/>
    <x v="16"/>
    <x v="0"/>
    <x v="0"/>
  </r>
  <r>
    <s v="LU1901202280"/>
    <x v="14"/>
    <n v="21.755400000000002"/>
    <x v="0"/>
    <x v="14"/>
    <x v="0"/>
    <x v="4"/>
    <s v="DREQUIA LX Equity"/>
    <x v="64"/>
    <x v="0"/>
    <x v="16"/>
    <x v="0"/>
    <x v="0"/>
  </r>
  <r>
    <s v="LU1901202280"/>
    <x v="9"/>
    <n v="15.040800000000001"/>
    <x v="0"/>
    <x v="9"/>
    <x v="0"/>
    <x v="4"/>
    <s v="DREQUIA LX Equity"/>
    <x v="64"/>
    <x v="0"/>
    <x v="16"/>
    <x v="0"/>
    <x v="0"/>
  </r>
  <r>
    <s v="LU1901202280"/>
    <x v="0"/>
    <n v="20.930499999999999"/>
    <x v="0"/>
    <x v="0"/>
    <x v="0"/>
    <x v="0"/>
    <s v="DREQUIA LX Equity"/>
    <x v="64"/>
    <x v="0"/>
    <x v="16"/>
    <x v="0"/>
    <x v="0"/>
  </r>
  <r>
    <s v="LU1901202280"/>
    <x v="15"/>
    <n v="21.081499999999998"/>
    <x v="0"/>
    <x v="7"/>
    <x v="1"/>
    <x v="4"/>
    <s v="DREQUIA LX Equity"/>
    <x v="64"/>
    <x v="0"/>
    <x v="16"/>
    <x v="0"/>
    <x v="0"/>
  </r>
  <r>
    <s v="LU1901202280"/>
    <x v="7"/>
    <n v="25.466699999999999"/>
    <x v="0"/>
    <x v="7"/>
    <x v="0"/>
    <x v="4"/>
    <s v="DREQUIA LX Equity"/>
    <x v="64"/>
    <x v="0"/>
    <x v="16"/>
    <x v="0"/>
    <x v="0"/>
  </r>
  <r>
    <s v="LU1901202280"/>
    <x v="25"/>
    <n v="25.383700000000001"/>
    <x v="0"/>
    <x v="7"/>
    <x v="0"/>
    <x v="4"/>
    <s v="DREQUIA LX Equity"/>
    <x v="64"/>
    <x v="0"/>
    <x v="16"/>
    <x v="0"/>
    <x v="0"/>
  </r>
  <r>
    <s v="LU1901202280"/>
    <x v="16"/>
    <n v="17.438500000000001"/>
    <x v="0"/>
    <x v="15"/>
    <x v="1"/>
    <x v="5"/>
    <s v="DREQUIA LX Equity"/>
    <x v="64"/>
    <x v="0"/>
    <x v="16"/>
    <x v="0"/>
    <x v="0"/>
  </r>
  <r>
    <s v="LU1901202280"/>
    <x v="21"/>
    <n v="5.2613000000000003"/>
    <x v="0"/>
    <x v="8"/>
    <x v="0"/>
    <x v="4"/>
    <s v="DREQUIA LX Equity"/>
    <x v="64"/>
    <x v="0"/>
    <x v="16"/>
    <x v="0"/>
    <x v="0"/>
  </r>
  <r>
    <s v="LU1901202280"/>
    <x v="8"/>
    <n v="22.445"/>
    <x v="0"/>
    <x v="8"/>
    <x v="0"/>
    <x v="4"/>
    <s v="DREQUIA LX Equity"/>
    <x v="64"/>
    <x v="0"/>
    <x v="16"/>
    <x v="0"/>
    <x v="0"/>
  </r>
  <r>
    <s v="LU1901202280"/>
    <x v="17"/>
    <n v="16.757999999999999"/>
    <x v="0"/>
    <x v="5"/>
    <x v="3"/>
    <x v="6"/>
    <s v="DREQUIA LX Equity"/>
    <x v="64"/>
    <x v="0"/>
    <x v="16"/>
    <x v="0"/>
    <x v="0"/>
  </r>
  <r>
    <s v="LU1901202280"/>
    <x v="24"/>
    <n v="20.3934"/>
    <x v="0"/>
    <x v="20"/>
    <x v="0"/>
    <x v="7"/>
    <s v="DREQUIA LX Equity"/>
    <x v="64"/>
    <x v="0"/>
    <x v="16"/>
    <x v="0"/>
    <x v="0"/>
  </r>
  <r>
    <s v="LU1901202280"/>
    <x v="18"/>
    <n v="20.948699999999999"/>
    <x v="0"/>
    <x v="16"/>
    <x v="0"/>
    <x v="4"/>
    <s v="DREQUIA LX Equity"/>
    <x v="64"/>
    <x v="0"/>
    <x v="16"/>
    <x v="0"/>
    <x v="0"/>
  </r>
  <r>
    <s v="LU1901202280"/>
    <x v="19"/>
    <n v="16.231000000000002"/>
    <x v="0"/>
    <x v="17"/>
    <x v="0"/>
    <x v="0"/>
    <s v="DREQUIA LX Equity"/>
    <x v="64"/>
    <x v="0"/>
    <x v="16"/>
    <x v="0"/>
    <x v="0"/>
  </r>
  <r>
    <s v="LU1901202280"/>
    <x v="10"/>
    <n v="10.953900000000001"/>
    <x v="0"/>
    <x v="10"/>
    <x v="2"/>
    <x v="2"/>
    <s v="DREQUIA LX Equity"/>
    <x v="64"/>
    <x v="0"/>
    <x v="16"/>
    <x v="0"/>
    <x v="0"/>
  </r>
  <r>
    <s v="LU1901202363"/>
    <x v="11"/>
    <n v="24.6035"/>
    <x v="0"/>
    <x v="11"/>
    <x v="3"/>
    <x v="4"/>
    <s v="DRGLCRA LX Equity"/>
    <x v="65"/>
    <x v="3"/>
    <x v="17"/>
    <x v="0"/>
    <x v="0"/>
  </r>
  <r>
    <s v="LU1901202363"/>
    <x v="4"/>
    <n v="1.28"/>
    <x v="1"/>
    <x v="4"/>
    <x v="0"/>
    <x v="4"/>
    <s v="DRGLCRA LX Equity"/>
    <x v="65"/>
    <x v="3"/>
    <x v="17"/>
    <x v="0"/>
    <x v="0"/>
  </r>
  <r>
    <s v="LU1901202363"/>
    <x v="12"/>
    <n v="4.09"/>
    <x v="1"/>
    <x v="12"/>
    <x v="0"/>
    <x v="4"/>
    <s v="DRGLCRA LX Equity"/>
    <x v="65"/>
    <x v="3"/>
    <x v="17"/>
    <x v="0"/>
    <x v="0"/>
  </r>
  <r>
    <s v="LU1901202363"/>
    <x v="6"/>
    <n v="8.7899999999999991"/>
    <x v="1"/>
    <x v="6"/>
    <x v="1"/>
    <x v="4"/>
    <s v="DRGLCRA LX Equity"/>
    <x v="65"/>
    <x v="3"/>
    <x v="17"/>
    <x v="0"/>
    <x v="0"/>
  </r>
  <r>
    <s v="LU1901202363"/>
    <x v="22"/>
    <n v="23.513300000000001"/>
    <x v="0"/>
    <x v="18"/>
    <x v="1"/>
    <x v="4"/>
    <s v="DRGLCRA LX Equity"/>
    <x v="65"/>
    <x v="3"/>
    <x v="17"/>
    <x v="0"/>
    <x v="0"/>
  </r>
  <r>
    <s v="LU1901202363"/>
    <x v="1"/>
    <n v="19.9709"/>
    <x v="0"/>
    <x v="1"/>
    <x v="0"/>
    <x v="1"/>
    <s v="DRGLCRA LX Equity"/>
    <x v="65"/>
    <x v="3"/>
    <x v="17"/>
    <x v="0"/>
    <x v="0"/>
  </r>
  <r>
    <s v="LU1901202363"/>
    <x v="26"/>
    <n v="34.817999999999998"/>
    <x v="0"/>
    <x v="21"/>
    <x v="1"/>
    <x v="5"/>
    <s v="DRGLCRA LX Equity"/>
    <x v="65"/>
    <x v="3"/>
    <x v="17"/>
    <x v="0"/>
    <x v="0"/>
  </r>
  <r>
    <s v="LU1901202363"/>
    <x v="13"/>
    <n v="19.3705"/>
    <x v="0"/>
    <x v="13"/>
    <x v="0"/>
    <x v="4"/>
    <s v="DRGLCRA LX Equity"/>
    <x v="65"/>
    <x v="3"/>
    <x v="17"/>
    <x v="0"/>
    <x v="0"/>
  </r>
  <r>
    <s v="LU1901202363"/>
    <x v="14"/>
    <n v="27.582000000000001"/>
    <x v="0"/>
    <x v="14"/>
    <x v="0"/>
    <x v="4"/>
    <s v="DRGLCRA LX Equity"/>
    <x v="65"/>
    <x v="3"/>
    <x v="17"/>
    <x v="0"/>
    <x v="0"/>
  </r>
  <r>
    <s v="LU1901202363"/>
    <x v="9"/>
    <n v="15.8284"/>
    <x v="0"/>
    <x v="9"/>
    <x v="0"/>
    <x v="4"/>
    <s v="DRGLCRA LX Equity"/>
    <x v="65"/>
    <x v="3"/>
    <x v="17"/>
    <x v="0"/>
    <x v="0"/>
  </r>
  <r>
    <s v="LU1901202363"/>
    <x v="23"/>
    <n v="22.2607"/>
    <x v="0"/>
    <x v="19"/>
    <x v="0"/>
    <x v="4"/>
    <s v="DRGLCRA LX Equity"/>
    <x v="65"/>
    <x v="3"/>
    <x v="17"/>
    <x v="0"/>
    <x v="0"/>
  </r>
  <r>
    <s v="LU1901202363"/>
    <x v="0"/>
    <n v="13.9039"/>
    <x v="0"/>
    <x v="0"/>
    <x v="0"/>
    <x v="0"/>
    <s v="DRGLCRA LX Equity"/>
    <x v="65"/>
    <x v="3"/>
    <x v="17"/>
    <x v="0"/>
    <x v="0"/>
  </r>
  <r>
    <s v="LU1901202363"/>
    <x v="15"/>
    <n v="18.0062"/>
    <x v="0"/>
    <x v="7"/>
    <x v="1"/>
    <x v="4"/>
    <s v="DRGLCRA LX Equity"/>
    <x v="65"/>
    <x v="3"/>
    <x v="17"/>
    <x v="0"/>
    <x v="0"/>
  </r>
  <r>
    <s v="LU1901202363"/>
    <x v="7"/>
    <n v="29.002300000000002"/>
    <x v="0"/>
    <x v="7"/>
    <x v="0"/>
    <x v="4"/>
    <s v="DRGLCRA LX Equity"/>
    <x v="65"/>
    <x v="3"/>
    <x v="17"/>
    <x v="0"/>
    <x v="0"/>
  </r>
  <r>
    <s v="LU1901202363"/>
    <x v="25"/>
    <n v="28.750699999999998"/>
    <x v="0"/>
    <x v="7"/>
    <x v="0"/>
    <x v="4"/>
    <s v="DRGLCRA LX Equity"/>
    <x v="65"/>
    <x v="3"/>
    <x v="17"/>
    <x v="0"/>
    <x v="0"/>
  </r>
  <r>
    <s v="LU1901202363"/>
    <x v="16"/>
    <n v="25.9895"/>
    <x v="0"/>
    <x v="15"/>
    <x v="1"/>
    <x v="5"/>
    <s v="DRGLCRA LX Equity"/>
    <x v="65"/>
    <x v="3"/>
    <x v="17"/>
    <x v="0"/>
    <x v="0"/>
  </r>
  <r>
    <s v="LU1901202363"/>
    <x v="20"/>
    <n v="13.757"/>
    <x v="0"/>
    <x v="8"/>
    <x v="0"/>
    <x v="4"/>
    <s v="DRGLCRA LX Equity"/>
    <x v="65"/>
    <x v="3"/>
    <x v="17"/>
    <x v="0"/>
    <x v="0"/>
  </r>
  <r>
    <s v="LU1901202363"/>
    <x v="21"/>
    <n v="37.390799999999999"/>
    <x v="0"/>
    <x v="8"/>
    <x v="0"/>
    <x v="4"/>
    <s v="DRGLCRA LX Equity"/>
    <x v="65"/>
    <x v="3"/>
    <x v="17"/>
    <x v="0"/>
    <x v="0"/>
  </r>
  <r>
    <s v="LU1901202363"/>
    <x v="8"/>
    <n v="42.311599999999999"/>
    <x v="0"/>
    <x v="8"/>
    <x v="0"/>
    <x v="4"/>
    <s v="DRGLCRA LX Equity"/>
    <x v="65"/>
    <x v="3"/>
    <x v="17"/>
    <x v="0"/>
    <x v="0"/>
  </r>
  <r>
    <s v="LU1901202363"/>
    <x v="17"/>
    <n v="5.1414"/>
    <x v="0"/>
    <x v="5"/>
    <x v="3"/>
    <x v="6"/>
    <s v="DRGLCRA LX Equity"/>
    <x v="65"/>
    <x v="3"/>
    <x v="17"/>
    <x v="0"/>
    <x v="0"/>
  </r>
  <r>
    <s v="LU1901202363"/>
    <x v="24"/>
    <n v="34.837000000000003"/>
    <x v="0"/>
    <x v="20"/>
    <x v="0"/>
    <x v="7"/>
    <s v="DRGLCRA LX Equity"/>
    <x v="65"/>
    <x v="3"/>
    <x v="17"/>
    <x v="0"/>
    <x v="0"/>
  </r>
  <r>
    <s v="LU1901202363"/>
    <x v="18"/>
    <n v="22.264800000000001"/>
    <x v="0"/>
    <x v="16"/>
    <x v="0"/>
    <x v="4"/>
    <s v="DRGLCRA LX Equity"/>
    <x v="65"/>
    <x v="3"/>
    <x v="17"/>
    <x v="0"/>
    <x v="0"/>
  </r>
  <r>
    <s v="LU1901202363"/>
    <x v="19"/>
    <n v="4.9798"/>
    <x v="0"/>
    <x v="17"/>
    <x v="0"/>
    <x v="0"/>
    <s v="DRGLCRA LX Equity"/>
    <x v="65"/>
    <x v="3"/>
    <x v="17"/>
    <x v="0"/>
    <x v="0"/>
  </r>
  <r>
    <s v="LU1901202363"/>
    <x v="10"/>
    <n v="18.164999999999999"/>
    <x v="0"/>
    <x v="10"/>
    <x v="2"/>
    <x v="2"/>
    <s v="DRGLCRA LX Equity"/>
    <x v="65"/>
    <x v="3"/>
    <x v="17"/>
    <x v="0"/>
    <x v="0"/>
  </r>
  <r>
    <s v="NL0000226223"/>
    <x v="0"/>
    <n v="0.77310000000000001"/>
    <x v="0"/>
    <x v="0"/>
    <x v="0"/>
    <x v="0"/>
    <s v="STM FP Equity"/>
    <x v="66"/>
    <x v="0"/>
    <x v="0"/>
    <x v="0"/>
    <x v="0"/>
  </r>
  <r>
    <s v="NL0011585146"/>
    <x v="0"/>
    <n v="0.62280000000000002"/>
    <x v="0"/>
    <x v="0"/>
    <x v="0"/>
    <x v="0"/>
    <s v="RACE US Equity"/>
    <x v="67"/>
    <x v="0"/>
    <x v="0"/>
    <x v="0"/>
    <x v="0"/>
  </r>
  <r>
    <s v="US0231351067"/>
    <x v="0"/>
    <n v="0.53720000000000001"/>
    <x v="0"/>
    <x v="0"/>
    <x v="0"/>
    <x v="0"/>
    <s v="AMZN US Equity"/>
    <x v="68"/>
    <x v="0"/>
    <x v="0"/>
    <x v="3"/>
    <x v="0"/>
  </r>
  <r>
    <s v="US0378331005"/>
    <x v="0"/>
    <n v="0.98080000000000001"/>
    <x v="0"/>
    <x v="0"/>
    <x v="0"/>
    <x v="0"/>
    <s v="AAPL US Equity"/>
    <x v="69"/>
    <x v="0"/>
    <x v="0"/>
    <x v="3"/>
    <x v="0"/>
  </r>
  <r>
    <s v="US16411R2085"/>
    <x v="0"/>
    <n v="0.59730000000000005"/>
    <x v="0"/>
    <x v="0"/>
    <x v="0"/>
    <x v="0"/>
    <s v="LNG US Equity"/>
    <x v="70"/>
    <x v="0"/>
    <x v="0"/>
    <x v="3"/>
    <x v="0"/>
  </r>
  <r>
    <s v="US17275R1023"/>
    <x v="1"/>
    <n v="1.0325"/>
    <x v="0"/>
    <x v="1"/>
    <x v="0"/>
    <x v="1"/>
    <s v="CSCO US Equity"/>
    <x v="71"/>
    <x v="0"/>
    <x v="0"/>
    <x v="3"/>
    <x v="0"/>
  </r>
  <r>
    <s v="US191241AD01"/>
    <x v="9"/>
    <n v="1.0912999999999999"/>
    <x v="0"/>
    <x v="9"/>
    <x v="0"/>
    <x v="4"/>
    <s v="US191241AD01 Corp"/>
    <x v="72"/>
    <x v="3"/>
    <x v="18"/>
    <x v="3"/>
    <x v="7"/>
  </r>
  <r>
    <s v="US278642AK93"/>
    <x v="9"/>
    <n v="1.6449"/>
    <x v="0"/>
    <x v="9"/>
    <x v="0"/>
    <x v="4"/>
    <s v="US278642AK93 Corp"/>
    <x v="73"/>
    <x v="3"/>
    <x v="18"/>
    <x v="3"/>
    <x v="7"/>
  </r>
  <r>
    <s v="US4282911084"/>
    <x v="0"/>
    <n v="0.35070000000000001"/>
    <x v="0"/>
    <x v="0"/>
    <x v="0"/>
    <x v="0"/>
    <s v="HXL US Equity"/>
    <x v="74"/>
    <x v="0"/>
    <x v="0"/>
    <x v="3"/>
    <x v="0"/>
  </r>
  <r>
    <s v="US4642872000"/>
    <x v="23"/>
    <n v="2.2774000000000001"/>
    <x v="0"/>
    <x v="19"/>
    <x v="0"/>
    <x v="4"/>
    <s v="IVV US Equity"/>
    <x v="75"/>
    <x v="0"/>
    <x v="19"/>
    <x v="3"/>
    <x v="0"/>
  </r>
  <r>
    <s v="US55087P1049"/>
    <x v="0"/>
    <n v="0.2079"/>
    <x v="0"/>
    <x v="0"/>
    <x v="0"/>
    <x v="0"/>
    <s v="LYFT US Equity"/>
    <x v="76"/>
    <x v="0"/>
    <x v="0"/>
    <x v="3"/>
    <x v="0"/>
  </r>
  <r>
    <s v="US78462F1030"/>
    <x v="10"/>
    <n v="2.2629999999999999"/>
    <x v="0"/>
    <x v="10"/>
    <x v="2"/>
    <x v="2"/>
    <s v="SPY US Equity"/>
    <x v="77"/>
    <x v="0"/>
    <x v="19"/>
    <x v="3"/>
    <x v="0"/>
  </r>
  <r>
    <s v="US78463V1070"/>
    <x v="24"/>
    <n v="5.6132"/>
    <x v="0"/>
    <x v="20"/>
    <x v="0"/>
    <x v="7"/>
    <s v="GLD US Equity"/>
    <x v="78"/>
    <x v="1"/>
    <x v="2"/>
    <x v="3"/>
    <x v="0"/>
  </r>
  <r>
    <s v="US78464A7634"/>
    <x v="10"/>
    <n v="4.5602"/>
    <x v="0"/>
    <x v="10"/>
    <x v="2"/>
    <x v="2"/>
    <s v="SDY US Equity"/>
    <x v="79"/>
    <x v="0"/>
    <x v="19"/>
    <x v="3"/>
    <x v="0"/>
  </r>
  <r>
    <s v="US87968A1043"/>
    <x v="0"/>
    <n v="0.6865"/>
    <x v="0"/>
    <x v="0"/>
    <x v="0"/>
    <x v="0"/>
    <s v="TELL US Equity"/>
    <x v="80"/>
    <x v="0"/>
    <x v="0"/>
    <x v="3"/>
    <x v="0"/>
  </r>
  <r>
    <s v="US88160R1014"/>
    <x v="0"/>
    <n v="0.88100000000000001"/>
    <x v="0"/>
    <x v="0"/>
    <x v="0"/>
    <x v="0"/>
    <s v="TSLA US Equity"/>
    <x v="81"/>
    <x v="0"/>
    <x v="0"/>
    <x v="3"/>
    <x v="0"/>
  </r>
  <r>
    <s v="US89114QC716"/>
    <x v="9"/>
    <n v="2.1772"/>
    <x v="0"/>
    <x v="9"/>
    <x v="0"/>
    <x v="4"/>
    <s v="US89114QC716 Corp"/>
    <x v="82"/>
    <x v="3"/>
    <x v="18"/>
    <x v="3"/>
    <x v="7"/>
  </r>
  <r>
    <s v="USY68868AA92"/>
    <x v="9"/>
    <n v="2.1564000000000001"/>
    <x v="0"/>
    <x v="9"/>
    <x v="0"/>
    <x v="4"/>
    <s v="USY68868AA92 Corp"/>
    <x v="83"/>
    <x v="3"/>
    <x v="18"/>
    <x v="3"/>
    <x v="7"/>
  </r>
  <r>
    <s v="VGG5532C1106"/>
    <x v="11"/>
    <n v="7.1999999999999998E-3"/>
    <x v="0"/>
    <x v="11"/>
    <x v="3"/>
    <x v="4"/>
    <s v="LL1"/>
    <x v="84"/>
    <x v="1"/>
    <x v="1"/>
    <x v="0"/>
    <x v="0"/>
  </r>
  <r>
    <s v="VGG5532C1106"/>
    <x v="13"/>
    <n v="1.1000000000000001E-3"/>
    <x v="0"/>
    <x v="13"/>
    <x v="0"/>
    <x v="4"/>
    <s v="LL1"/>
    <x v="84"/>
    <x v="1"/>
    <x v="1"/>
    <x v="0"/>
    <x v="0"/>
  </r>
  <r>
    <s v="VGG5532C1106"/>
    <x v="14"/>
    <n v="7.6E-3"/>
    <x v="0"/>
    <x v="14"/>
    <x v="0"/>
    <x v="4"/>
    <s v="LL1"/>
    <x v="84"/>
    <x v="1"/>
    <x v="1"/>
    <x v="0"/>
    <x v="0"/>
  </r>
  <r>
    <s v="VGG5532C1106"/>
    <x v="27"/>
    <n v="1.6492"/>
    <x v="0"/>
    <x v="22"/>
    <x v="1"/>
    <x v="8"/>
    <s v="LL1"/>
    <x v="84"/>
    <x v="1"/>
    <x v="1"/>
    <x v="0"/>
    <x v="0"/>
  </r>
  <r>
    <s v="VGG5532C1106"/>
    <x v="0"/>
    <n v="2.9999999999999997E-4"/>
    <x v="0"/>
    <x v="0"/>
    <x v="0"/>
    <x v="0"/>
    <s v="LL1"/>
    <x v="84"/>
    <x v="1"/>
    <x v="1"/>
    <x v="0"/>
    <x v="0"/>
  </r>
  <r>
    <s v="VGG5532C1106"/>
    <x v="7"/>
    <n v="8.5000000000000006E-3"/>
    <x v="0"/>
    <x v="7"/>
    <x v="0"/>
    <x v="4"/>
    <s v="LL1"/>
    <x v="84"/>
    <x v="1"/>
    <x v="1"/>
    <x v="0"/>
    <x v="0"/>
  </r>
  <r>
    <s v="VGG5532C1106"/>
    <x v="25"/>
    <n v="7.7000000000000002E-3"/>
    <x v="0"/>
    <x v="7"/>
    <x v="0"/>
    <x v="4"/>
    <s v="LL1"/>
    <x v="84"/>
    <x v="1"/>
    <x v="1"/>
    <x v="0"/>
    <x v="0"/>
  </r>
  <r>
    <s v="VGG5532C1106"/>
    <x v="20"/>
    <n v="5.8999999999999999E-3"/>
    <x v="0"/>
    <x v="8"/>
    <x v="0"/>
    <x v="4"/>
    <s v="LL1"/>
    <x v="84"/>
    <x v="1"/>
    <x v="1"/>
    <x v="0"/>
    <x v="0"/>
  </r>
  <r>
    <s v="VGG5532C1106"/>
    <x v="8"/>
    <n v="6.7999999999999996E-3"/>
    <x v="0"/>
    <x v="8"/>
    <x v="0"/>
    <x v="4"/>
    <s v="LL1"/>
    <x v="84"/>
    <x v="1"/>
    <x v="1"/>
    <x v="0"/>
    <x v="0"/>
  </r>
  <r>
    <s v="VGG5532C1106"/>
    <x v="24"/>
    <n v="6.8999999999999999E-3"/>
    <x v="0"/>
    <x v="20"/>
    <x v="0"/>
    <x v="7"/>
    <s v="LL1"/>
    <x v="84"/>
    <x v="1"/>
    <x v="1"/>
    <x v="0"/>
    <x v="0"/>
  </r>
  <r>
    <s v="VGG5532C1106"/>
    <x v="18"/>
    <n v="1.1999999999999999E-3"/>
    <x v="0"/>
    <x v="16"/>
    <x v="0"/>
    <x v="4"/>
    <s v="LL1"/>
    <x v="84"/>
    <x v="1"/>
    <x v="1"/>
    <x v="0"/>
    <x v="0"/>
  </r>
  <r>
    <s v="VGG5532C1288"/>
    <x v="28"/>
    <n v="0.08"/>
    <x v="1"/>
    <x v="23"/>
    <x v="0"/>
    <x v="7"/>
    <s v="LL"/>
    <x v="85"/>
    <x v="1"/>
    <x v="1"/>
    <x v="0"/>
    <x v="0"/>
  </r>
  <r>
    <s v="VGG5532C1288"/>
    <x v="4"/>
    <n v="0.05"/>
    <x v="1"/>
    <x v="4"/>
    <x v="0"/>
    <x v="4"/>
    <s v="LL"/>
    <x v="85"/>
    <x v="1"/>
    <x v="1"/>
    <x v="0"/>
    <x v="0"/>
  </r>
  <r>
    <s v="VGG5532C1288"/>
    <x v="29"/>
    <n v="0.01"/>
    <x v="1"/>
    <x v="24"/>
    <x v="1"/>
    <x v="6"/>
    <s v="LL"/>
    <x v="85"/>
    <x v="1"/>
    <x v="1"/>
    <x v="0"/>
    <x v="0"/>
  </r>
  <r>
    <s v="VGG5532C1288"/>
    <x v="6"/>
    <n v="0.04"/>
    <x v="1"/>
    <x v="6"/>
    <x v="1"/>
    <x v="4"/>
    <s v="LL"/>
    <x v="85"/>
    <x v="1"/>
    <x v="1"/>
    <x v="0"/>
    <x v="0"/>
  </r>
  <r>
    <s v="VGG5532C1288"/>
    <x v="27"/>
    <n v="21.731400000000001"/>
    <x v="0"/>
    <x v="22"/>
    <x v="1"/>
    <x v="8"/>
    <s v="LL"/>
    <x v="85"/>
    <x v="1"/>
    <x v="1"/>
    <x v="0"/>
    <x v="0"/>
  </r>
  <r>
    <s v="VGG5532C1288"/>
    <x v="7"/>
    <n v="0.22389999999999999"/>
    <x v="0"/>
    <x v="7"/>
    <x v="0"/>
    <x v="4"/>
    <s v="LL"/>
    <x v="85"/>
    <x v="1"/>
    <x v="1"/>
    <x v="0"/>
    <x v="0"/>
  </r>
  <r>
    <s v="VGG5532C1288"/>
    <x v="25"/>
    <n v="0.20369999999999999"/>
    <x v="0"/>
    <x v="7"/>
    <x v="0"/>
    <x v="4"/>
    <s v="LL"/>
    <x v="85"/>
    <x v="1"/>
    <x v="1"/>
    <x v="0"/>
    <x v="0"/>
  </r>
  <r>
    <s v="VGG5532C1288"/>
    <x v="16"/>
    <n v="0.13339999999999999"/>
    <x v="0"/>
    <x v="15"/>
    <x v="1"/>
    <x v="5"/>
    <s v="LL"/>
    <x v="85"/>
    <x v="1"/>
    <x v="1"/>
    <x v="0"/>
    <x v="0"/>
  </r>
  <r>
    <s v="VGG5532C1288"/>
    <x v="20"/>
    <n v="0.25790000000000002"/>
    <x v="0"/>
    <x v="8"/>
    <x v="0"/>
    <x v="4"/>
    <s v="LL"/>
    <x v="85"/>
    <x v="1"/>
    <x v="1"/>
    <x v="0"/>
    <x v="0"/>
  </r>
  <r>
    <s v="VGG5532C1288"/>
    <x v="8"/>
    <n v="0.18010000000000001"/>
    <x v="0"/>
    <x v="8"/>
    <x v="0"/>
    <x v="4"/>
    <s v="LL"/>
    <x v="85"/>
    <x v="1"/>
    <x v="1"/>
    <x v="0"/>
    <x v="0"/>
  </r>
  <r>
    <s v="VGG5532C1361"/>
    <x v="11"/>
    <n v="9.3700000000000006E-2"/>
    <x v="0"/>
    <x v="11"/>
    <x v="3"/>
    <x v="4"/>
    <s v="LL"/>
    <x v="86"/>
    <x v="1"/>
    <x v="1"/>
    <x v="0"/>
    <x v="0"/>
  </r>
  <r>
    <s v="VGG5532C1361"/>
    <x v="4"/>
    <n v="0.04"/>
    <x v="1"/>
    <x v="4"/>
    <x v="0"/>
    <x v="4"/>
    <s v="LL"/>
    <x v="86"/>
    <x v="1"/>
    <x v="1"/>
    <x v="0"/>
    <x v="0"/>
  </r>
  <r>
    <s v="VGG5532C1361"/>
    <x v="29"/>
    <n v="0.03"/>
    <x v="1"/>
    <x v="24"/>
    <x v="1"/>
    <x v="6"/>
    <s v="LL"/>
    <x v="86"/>
    <x v="1"/>
    <x v="1"/>
    <x v="0"/>
    <x v="0"/>
  </r>
  <r>
    <s v="VGG5532C1361"/>
    <x v="14"/>
    <n v="0.39900000000000002"/>
    <x v="0"/>
    <x v="14"/>
    <x v="0"/>
    <x v="4"/>
    <s v="LL"/>
    <x v="86"/>
    <x v="1"/>
    <x v="1"/>
    <x v="0"/>
    <x v="0"/>
  </r>
  <r>
    <s v="VGG5532C1361"/>
    <x v="27"/>
    <n v="56.3065"/>
    <x v="0"/>
    <x v="22"/>
    <x v="1"/>
    <x v="8"/>
    <s v="LL"/>
    <x v="86"/>
    <x v="1"/>
    <x v="1"/>
    <x v="0"/>
    <x v="0"/>
  </r>
  <r>
    <s v="VGG5532C1361"/>
    <x v="7"/>
    <n v="0.46400000000000002"/>
    <x v="0"/>
    <x v="7"/>
    <x v="0"/>
    <x v="4"/>
    <s v="LL"/>
    <x v="86"/>
    <x v="1"/>
    <x v="1"/>
    <x v="0"/>
    <x v="0"/>
  </r>
  <r>
    <s v="VGG5532C1361"/>
    <x v="25"/>
    <n v="0.42220000000000002"/>
    <x v="0"/>
    <x v="7"/>
    <x v="0"/>
    <x v="4"/>
    <s v="LL"/>
    <x v="86"/>
    <x v="1"/>
    <x v="1"/>
    <x v="0"/>
    <x v="0"/>
  </r>
  <r>
    <s v="VGG5532C1361"/>
    <x v="20"/>
    <n v="0.39200000000000002"/>
    <x v="0"/>
    <x v="8"/>
    <x v="0"/>
    <x v="4"/>
    <s v="LL"/>
    <x v="86"/>
    <x v="1"/>
    <x v="1"/>
    <x v="0"/>
    <x v="0"/>
  </r>
  <r>
    <s v="VGG5532C1361"/>
    <x v="21"/>
    <n v="0.5857"/>
    <x v="0"/>
    <x v="8"/>
    <x v="0"/>
    <x v="4"/>
    <s v="LL"/>
    <x v="86"/>
    <x v="1"/>
    <x v="1"/>
    <x v="0"/>
    <x v="0"/>
  </r>
  <r>
    <s v="VGG5532C1361"/>
    <x v="8"/>
    <n v="0.37330000000000002"/>
    <x v="0"/>
    <x v="8"/>
    <x v="0"/>
    <x v="4"/>
    <s v="LL"/>
    <x v="86"/>
    <x v="1"/>
    <x v="1"/>
    <x v="0"/>
    <x v="0"/>
  </r>
  <r>
    <s v="VGG5532C1445"/>
    <x v="11"/>
    <n v="4.9000000000000002E-2"/>
    <x v="0"/>
    <x v="11"/>
    <x v="3"/>
    <x v="4"/>
    <s v="LL"/>
    <x v="87"/>
    <x v="1"/>
    <x v="1"/>
    <x v="0"/>
    <x v="0"/>
  </r>
  <r>
    <s v="VGG5532C1445"/>
    <x v="4"/>
    <n v="0.01"/>
    <x v="1"/>
    <x v="4"/>
    <x v="0"/>
    <x v="4"/>
    <s v="LL"/>
    <x v="87"/>
    <x v="1"/>
    <x v="1"/>
    <x v="0"/>
    <x v="0"/>
  </r>
  <r>
    <s v="VGG5532C1445"/>
    <x v="1"/>
    <n v="4.7100000000000003E-2"/>
    <x v="0"/>
    <x v="1"/>
    <x v="0"/>
    <x v="1"/>
    <s v="LL"/>
    <x v="87"/>
    <x v="1"/>
    <x v="1"/>
    <x v="0"/>
    <x v="0"/>
  </r>
  <r>
    <s v="VGG5532C1445"/>
    <x v="14"/>
    <n v="3.5900000000000001E-2"/>
    <x v="0"/>
    <x v="14"/>
    <x v="0"/>
    <x v="4"/>
    <s v="LL"/>
    <x v="87"/>
    <x v="1"/>
    <x v="1"/>
    <x v="0"/>
    <x v="0"/>
  </r>
  <r>
    <s v="VGG5532C1445"/>
    <x v="7"/>
    <n v="3.4599999999999999E-2"/>
    <x v="0"/>
    <x v="7"/>
    <x v="0"/>
    <x v="4"/>
    <s v="LL"/>
    <x v="87"/>
    <x v="1"/>
    <x v="1"/>
    <x v="0"/>
    <x v="0"/>
  </r>
  <r>
    <s v="VGG5532C1445"/>
    <x v="25"/>
    <n v="3.15E-2"/>
    <x v="0"/>
    <x v="7"/>
    <x v="0"/>
    <x v="4"/>
    <s v="LL"/>
    <x v="87"/>
    <x v="1"/>
    <x v="1"/>
    <x v="0"/>
    <x v="0"/>
  </r>
  <r>
    <s v="VGG5532C1445"/>
    <x v="20"/>
    <n v="1.3299999999999999E-2"/>
    <x v="0"/>
    <x v="8"/>
    <x v="0"/>
    <x v="4"/>
    <s v="LL"/>
    <x v="87"/>
    <x v="1"/>
    <x v="1"/>
    <x v="0"/>
    <x v="0"/>
  </r>
  <r>
    <s v="VGG5532C1445"/>
    <x v="8"/>
    <n v="2.7799999999999998E-2"/>
    <x v="0"/>
    <x v="8"/>
    <x v="0"/>
    <x v="4"/>
    <s v="LL"/>
    <x v="87"/>
    <x v="1"/>
    <x v="1"/>
    <x v="0"/>
    <x v="0"/>
  </r>
  <r>
    <s v="XD0002818892"/>
    <x v="5"/>
    <n v="3.3405"/>
    <x v="0"/>
    <x v="5"/>
    <x v="0"/>
    <x v="4"/>
    <s v="COINGCML Index"/>
    <x v="88"/>
    <x v="1"/>
    <x v="2"/>
    <x v="3"/>
    <x v="1"/>
  </r>
  <r>
    <s v="XD0113751685"/>
    <x v="3"/>
    <n v="3.7"/>
    <x v="1"/>
    <x v="3"/>
    <x v="0"/>
    <x v="3"/>
    <s v="MAR"/>
    <x v="89"/>
    <x v="1"/>
    <x v="20"/>
    <x v="3"/>
    <x v="0"/>
  </r>
  <r>
    <s v="XD0487112704"/>
    <x v="30"/>
    <n v="92.849000000000004"/>
    <x v="0"/>
    <x v="25"/>
    <x v="0"/>
    <x v="2"/>
    <s v="SER"/>
    <x v="90"/>
    <x v="1"/>
    <x v="20"/>
    <x v="3"/>
    <x v="8"/>
  </r>
  <r>
    <s v="XD0511113454"/>
    <x v="10"/>
    <n v="4.0134999999999996"/>
    <x v="0"/>
    <x v="10"/>
    <x v="2"/>
    <x v="2"/>
    <s v="Alphaquest Original"/>
    <x v="91"/>
    <x v="1"/>
    <x v="12"/>
    <x v="0"/>
    <x v="0"/>
  </r>
  <r>
    <s v="XS2003586869"/>
    <x v="12"/>
    <n v="0.1"/>
    <x v="1"/>
    <x v="12"/>
    <x v="0"/>
    <x v="4"/>
    <s v="XS2003586869 Corp"/>
    <x v="92"/>
    <x v="3"/>
    <x v="18"/>
    <x v="0"/>
    <x v="9"/>
  </r>
  <r>
    <s v="XS2003586869"/>
    <x v="9"/>
    <n v="1.1900000000000001E-2"/>
    <x v="0"/>
    <x v="9"/>
    <x v="0"/>
    <x v="4"/>
    <s v="XS2003586869 Corp"/>
    <x v="92"/>
    <x v="3"/>
    <x v="18"/>
    <x v="0"/>
    <x v="9"/>
  </r>
  <r>
    <s v="LU0646914142"/>
    <x v="31"/>
    <n v="2"/>
    <x v="2"/>
    <x v="26"/>
    <x v="1"/>
    <x v="2"/>
    <s v="AREIIBA LX Equity"/>
    <x v="58"/>
    <x v="3"/>
    <x v="14"/>
    <x v="0"/>
    <x v="0"/>
  </r>
  <r>
    <s v="LU0646914142"/>
    <x v="32"/>
    <n v="2"/>
    <x v="2"/>
    <x v="27"/>
    <x v="1"/>
    <x v="2"/>
    <s v="AREIIBA LX Equity"/>
    <x v="58"/>
    <x v="3"/>
    <x v="14"/>
    <x v="0"/>
    <x v="0"/>
  </r>
  <r>
    <s v="LU0646914142"/>
    <x v="33"/>
    <n v="3"/>
    <x v="2"/>
    <x v="28"/>
    <x v="1"/>
    <x v="0"/>
    <s v="AREIIBA LX Equity"/>
    <x v="58"/>
    <x v="3"/>
    <x v="14"/>
    <x v="0"/>
    <x v="0"/>
  </r>
  <r>
    <s v="LU0646914142"/>
    <x v="34"/>
    <n v="3"/>
    <x v="2"/>
    <x v="29"/>
    <x v="1"/>
    <x v="0"/>
    <s v="AREIIBA LX Equity"/>
    <x v="58"/>
    <x v="3"/>
    <x v="14"/>
    <x v="0"/>
    <x v="0"/>
  </r>
  <r>
    <s v="LU0646914142"/>
    <x v="35"/>
    <n v="4"/>
    <x v="2"/>
    <x v="30"/>
    <x v="1"/>
    <x v="4"/>
    <s v="AREIIBA LX Equity"/>
    <x v="58"/>
    <x v="3"/>
    <x v="14"/>
    <x v="0"/>
    <x v="0"/>
  </r>
  <r>
    <s v="LU0646914142"/>
    <x v="36"/>
    <n v="5"/>
    <x v="2"/>
    <x v="31"/>
    <x v="1"/>
    <x v="4"/>
    <s v="AREIIBA LX Equity"/>
    <x v="58"/>
    <x v="3"/>
    <x v="14"/>
    <x v="0"/>
    <x v="0"/>
  </r>
  <r>
    <s v="LU0646914142"/>
    <x v="37"/>
    <n v="3"/>
    <x v="2"/>
    <x v="32"/>
    <x v="1"/>
    <x v="5"/>
    <s v="AREIIBA LX Equity"/>
    <x v="58"/>
    <x v="3"/>
    <x v="14"/>
    <x v="0"/>
    <x v="0"/>
  </r>
  <r>
    <s v="LU0646914142"/>
    <x v="38"/>
    <n v="5"/>
    <x v="2"/>
    <x v="33"/>
    <x v="1"/>
    <x v="5"/>
    <s v="AREIIBA LX Equity"/>
    <x v="58"/>
    <x v="3"/>
    <x v="14"/>
    <x v="0"/>
    <x v="0"/>
  </r>
  <r>
    <s v="LU0646914142"/>
    <x v="39"/>
    <n v="2"/>
    <x v="2"/>
    <x v="34"/>
    <x v="0"/>
    <x v="2"/>
    <s v="AREIIBA LX Equity"/>
    <x v="58"/>
    <x v="3"/>
    <x v="14"/>
    <x v="0"/>
    <x v="0"/>
  </r>
  <r>
    <s v="LU0646914142"/>
    <x v="40"/>
    <n v="2"/>
    <x v="2"/>
    <x v="35"/>
    <x v="0"/>
    <x v="2"/>
    <s v="AREIIBA LX Equity"/>
    <x v="58"/>
    <x v="3"/>
    <x v="14"/>
    <x v="0"/>
    <x v="0"/>
  </r>
  <r>
    <s v="LU0646914142"/>
    <x v="41"/>
    <n v="3"/>
    <x v="2"/>
    <x v="36"/>
    <x v="0"/>
    <x v="0"/>
    <s v="AREIIBA LX Equity"/>
    <x v="58"/>
    <x v="3"/>
    <x v="14"/>
    <x v="0"/>
    <x v="0"/>
  </r>
  <r>
    <s v="LU0646914142"/>
    <x v="42"/>
    <n v="3"/>
    <x v="2"/>
    <x v="37"/>
    <x v="0"/>
    <x v="0"/>
    <s v="AREIIBA LX Equity"/>
    <x v="58"/>
    <x v="3"/>
    <x v="14"/>
    <x v="0"/>
    <x v="0"/>
  </r>
  <r>
    <s v="LU0646914142"/>
    <x v="43"/>
    <n v="4"/>
    <x v="2"/>
    <x v="38"/>
    <x v="0"/>
    <x v="4"/>
    <s v="AREIIBA LX Equity"/>
    <x v="58"/>
    <x v="3"/>
    <x v="14"/>
    <x v="0"/>
    <x v="0"/>
  </r>
  <r>
    <s v="LU0646914142"/>
    <x v="44"/>
    <n v="5"/>
    <x v="2"/>
    <x v="39"/>
    <x v="0"/>
    <x v="4"/>
    <s v="AREIIBA LX Equity"/>
    <x v="58"/>
    <x v="3"/>
    <x v="14"/>
    <x v="0"/>
    <x v="0"/>
  </r>
  <r>
    <s v="LU0646914142"/>
    <x v="45"/>
    <n v="3"/>
    <x v="2"/>
    <x v="40"/>
    <x v="0"/>
    <x v="5"/>
    <s v="AREIIBA LX Equity"/>
    <x v="58"/>
    <x v="3"/>
    <x v="14"/>
    <x v="0"/>
    <x v="0"/>
  </r>
  <r>
    <s v="LU0646914142"/>
    <x v="46"/>
    <n v="5"/>
    <x v="2"/>
    <x v="41"/>
    <x v="0"/>
    <x v="5"/>
    <s v="AREIIBA LX Equity"/>
    <x v="58"/>
    <x v="3"/>
    <x v="14"/>
    <x v="0"/>
    <x v="0"/>
  </r>
  <r>
    <s v="LU0646914142"/>
    <x v="47"/>
    <n v="2"/>
    <x v="2"/>
    <x v="42"/>
    <x v="2"/>
    <x v="2"/>
    <s v="AREIIBA LX Equity"/>
    <x v="58"/>
    <x v="3"/>
    <x v="14"/>
    <x v="0"/>
    <x v="0"/>
  </r>
  <r>
    <s v="LU0646914142"/>
    <x v="48"/>
    <n v="2"/>
    <x v="2"/>
    <x v="43"/>
    <x v="2"/>
    <x v="2"/>
    <s v="AREIIBA LX Equity"/>
    <x v="58"/>
    <x v="3"/>
    <x v="14"/>
    <x v="0"/>
    <x v="0"/>
  </r>
  <r>
    <s v="LU0646914142"/>
    <x v="49"/>
    <n v="3"/>
    <x v="2"/>
    <x v="44"/>
    <x v="2"/>
    <x v="0"/>
    <s v="AREIIBA LX Equity"/>
    <x v="58"/>
    <x v="3"/>
    <x v="14"/>
    <x v="0"/>
    <x v="0"/>
  </r>
  <r>
    <s v="LU0646914142"/>
    <x v="50"/>
    <n v="3"/>
    <x v="2"/>
    <x v="45"/>
    <x v="2"/>
    <x v="0"/>
    <s v="AREIIBA LX Equity"/>
    <x v="58"/>
    <x v="3"/>
    <x v="14"/>
    <x v="0"/>
    <x v="0"/>
  </r>
  <r>
    <s v="LU0646914142"/>
    <x v="51"/>
    <n v="4"/>
    <x v="2"/>
    <x v="46"/>
    <x v="2"/>
    <x v="4"/>
    <s v="AREIIBA LX Equity"/>
    <x v="58"/>
    <x v="3"/>
    <x v="14"/>
    <x v="0"/>
    <x v="0"/>
  </r>
  <r>
    <s v="LU0646914142"/>
    <x v="52"/>
    <n v="5"/>
    <x v="2"/>
    <x v="47"/>
    <x v="2"/>
    <x v="4"/>
    <s v="AREIIBA LX Equity"/>
    <x v="58"/>
    <x v="3"/>
    <x v="14"/>
    <x v="0"/>
    <x v="0"/>
  </r>
  <r>
    <s v="LU0646914142"/>
    <x v="53"/>
    <n v="3"/>
    <x v="2"/>
    <x v="48"/>
    <x v="2"/>
    <x v="5"/>
    <s v="AREIIBA LX Equity"/>
    <x v="58"/>
    <x v="3"/>
    <x v="14"/>
    <x v="0"/>
    <x v="0"/>
  </r>
  <r>
    <s v="LU0646914142"/>
    <x v="54"/>
    <n v="5"/>
    <x v="2"/>
    <x v="49"/>
    <x v="2"/>
    <x v="5"/>
    <s v="AREIIBA LX Equity"/>
    <x v="58"/>
    <x v="3"/>
    <x v="14"/>
    <x v="0"/>
    <x v="0"/>
  </r>
  <r>
    <s v="LU0646914142"/>
    <x v="55"/>
    <n v="2"/>
    <x v="2"/>
    <x v="50"/>
    <x v="3"/>
    <x v="2"/>
    <s v="AREIIBA LX Equity"/>
    <x v="58"/>
    <x v="3"/>
    <x v="14"/>
    <x v="0"/>
    <x v="0"/>
  </r>
  <r>
    <s v="LU0646914142"/>
    <x v="56"/>
    <n v="2"/>
    <x v="2"/>
    <x v="51"/>
    <x v="3"/>
    <x v="2"/>
    <s v="AREIIBA LX Equity"/>
    <x v="58"/>
    <x v="3"/>
    <x v="14"/>
    <x v="0"/>
    <x v="0"/>
  </r>
  <r>
    <s v="LU0646914142"/>
    <x v="57"/>
    <n v="3"/>
    <x v="2"/>
    <x v="52"/>
    <x v="3"/>
    <x v="0"/>
    <s v="AREIIBA LX Equity"/>
    <x v="58"/>
    <x v="3"/>
    <x v="14"/>
    <x v="0"/>
    <x v="0"/>
  </r>
  <r>
    <s v="LU0646914142"/>
    <x v="58"/>
    <n v="3"/>
    <x v="2"/>
    <x v="53"/>
    <x v="3"/>
    <x v="0"/>
    <s v="AREIIBA LX Equity"/>
    <x v="58"/>
    <x v="3"/>
    <x v="14"/>
    <x v="0"/>
    <x v="0"/>
  </r>
  <r>
    <s v="LU0646914142"/>
    <x v="59"/>
    <n v="4"/>
    <x v="2"/>
    <x v="54"/>
    <x v="3"/>
    <x v="4"/>
    <s v="AREIIBA LX Equity"/>
    <x v="58"/>
    <x v="3"/>
    <x v="14"/>
    <x v="0"/>
    <x v="0"/>
  </r>
  <r>
    <s v="LU0646914142"/>
    <x v="60"/>
    <n v="5"/>
    <x v="2"/>
    <x v="55"/>
    <x v="3"/>
    <x v="4"/>
    <s v="AREIIBA LX Equity"/>
    <x v="58"/>
    <x v="3"/>
    <x v="14"/>
    <x v="0"/>
    <x v="0"/>
  </r>
  <r>
    <s v="LU0646914142"/>
    <x v="61"/>
    <n v="3"/>
    <x v="2"/>
    <x v="56"/>
    <x v="3"/>
    <x v="5"/>
    <s v="AREIIBA LX Equity"/>
    <x v="58"/>
    <x v="3"/>
    <x v="14"/>
    <x v="0"/>
    <x v="0"/>
  </r>
  <r>
    <s v="LU0646914142"/>
    <x v="62"/>
    <n v="5"/>
    <x v="2"/>
    <x v="57"/>
    <x v="3"/>
    <x v="5"/>
    <s v="AREIIBA LX Equity"/>
    <x v="58"/>
    <x v="3"/>
    <x v="14"/>
    <x v="0"/>
    <x v="0"/>
  </r>
  <r>
    <s v="IE00BFMNVB92"/>
    <x v="31"/>
    <n v="0"/>
    <x v="2"/>
    <x v="26"/>
    <x v="1"/>
    <x v="2"/>
    <s v="BLWEEAE ID Equity"/>
    <x v="93"/>
    <x v="0"/>
    <x v="8"/>
    <x v="0"/>
    <x v="0"/>
  </r>
  <r>
    <s v="IE00BFMNVB92"/>
    <x v="32"/>
    <n v="0"/>
    <x v="2"/>
    <x v="27"/>
    <x v="1"/>
    <x v="2"/>
    <s v="BLWEEAE ID Equity"/>
    <x v="93"/>
    <x v="0"/>
    <x v="8"/>
    <x v="0"/>
    <x v="0"/>
  </r>
  <r>
    <s v="IE00BFMNVB92"/>
    <x v="33"/>
    <n v="0"/>
    <x v="2"/>
    <x v="28"/>
    <x v="1"/>
    <x v="0"/>
    <s v="BLWEEAE ID Equity"/>
    <x v="93"/>
    <x v="0"/>
    <x v="8"/>
    <x v="0"/>
    <x v="0"/>
  </r>
  <r>
    <s v="IE00BFMNVB92"/>
    <x v="34"/>
    <n v="0"/>
    <x v="2"/>
    <x v="29"/>
    <x v="1"/>
    <x v="0"/>
    <s v="BLWEEAE ID Equity"/>
    <x v="93"/>
    <x v="0"/>
    <x v="8"/>
    <x v="0"/>
    <x v="0"/>
  </r>
  <r>
    <s v="IE00BFMNVB92"/>
    <x v="35"/>
    <n v="0"/>
    <x v="2"/>
    <x v="30"/>
    <x v="1"/>
    <x v="4"/>
    <s v="BLWEEAE ID Equity"/>
    <x v="93"/>
    <x v="0"/>
    <x v="8"/>
    <x v="0"/>
    <x v="0"/>
  </r>
  <r>
    <s v="IE00BFMNVB92"/>
    <x v="36"/>
    <n v="0"/>
    <x v="2"/>
    <x v="31"/>
    <x v="1"/>
    <x v="4"/>
    <s v="BLWEEAE ID Equity"/>
    <x v="93"/>
    <x v="0"/>
    <x v="8"/>
    <x v="0"/>
    <x v="0"/>
  </r>
  <r>
    <s v="IE00BFMNVB92"/>
    <x v="37"/>
    <n v="0"/>
    <x v="2"/>
    <x v="32"/>
    <x v="1"/>
    <x v="5"/>
    <s v="BLWEEAE ID Equity"/>
    <x v="93"/>
    <x v="0"/>
    <x v="8"/>
    <x v="0"/>
    <x v="0"/>
  </r>
  <r>
    <s v="IE00BFMNVB92"/>
    <x v="38"/>
    <n v="0"/>
    <x v="2"/>
    <x v="33"/>
    <x v="1"/>
    <x v="5"/>
    <s v="BLWEEAE ID Equity"/>
    <x v="93"/>
    <x v="0"/>
    <x v="8"/>
    <x v="0"/>
    <x v="0"/>
  </r>
  <r>
    <s v="IE00BFMNVB92"/>
    <x v="39"/>
    <n v="0"/>
    <x v="2"/>
    <x v="34"/>
    <x v="0"/>
    <x v="2"/>
    <s v="BLWEEAE ID Equity"/>
    <x v="93"/>
    <x v="0"/>
    <x v="8"/>
    <x v="0"/>
    <x v="0"/>
  </r>
  <r>
    <s v="IE00BFMNVB92"/>
    <x v="40"/>
    <n v="0"/>
    <x v="2"/>
    <x v="35"/>
    <x v="0"/>
    <x v="2"/>
    <s v="BLWEEAE ID Equity"/>
    <x v="93"/>
    <x v="0"/>
    <x v="8"/>
    <x v="0"/>
    <x v="0"/>
  </r>
  <r>
    <s v="IE00BFMNVB92"/>
    <x v="41"/>
    <n v="0"/>
    <x v="2"/>
    <x v="36"/>
    <x v="0"/>
    <x v="0"/>
    <s v="BLWEEAE ID Equity"/>
    <x v="93"/>
    <x v="0"/>
    <x v="8"/>
    <x v="0"/>
    <x v="0"/>
  </r>
  <r>
    <s v="IE00BFMNVB92"/>
    <x v="42"/>
    <n v="0"/>
    <x v="2"/>
    <x v="37"/>
    <x v="0"/>
    <x v="0"/>
    <s v="BLWEEAE ID Equity"/>
    <x v="93"/>
    <x v="0"/>
    <x v="8"/>
    <x v="0"/>
    <x v="0"/>
  </r>
  <r>
    <s v="IE00BFMNVB92"/>
    <x v="43"/>
    <n v="0"/>
    <x v="2"/>
    <x v="38"/>
    <x v="0"/>
    <x v="4"/>
    <s v="BLWEEAE ID Equity"/>
    <x v="93"/>
    <x v="0"/>
    <x v="8"/>
    <x v="0"/>
    <x v="0"/>
  </r>
  <r>
    <s v="IE00BFMNVB92"/>
    <x v="44"/>
    <n v="0"/>
    <x v="2"/>
    <x v="39"/>
    <x v="0"/>
    <x v="4"/>
    <s v="BLWEEAE ID Equity"/>
    <x v="93"/>
    <x v="0"/>
    <x v="8"/>
    <x v="0"/>
    <x v="0"/>
  </r>
  <r>
    <s v="IE00BFMNVB92"/>
    <x v="45"/>
    <n v="0"/>
    <x v="2"/>
    <x v="40"/>
    <x v="0"/>
    <x v="5"/>
    <s v="BLWEEAE ID Equity"/>
    <x v="93"/>
    <x v="0"/>
    <x v="8"/>
    <x v="0"/>
    <x v="0"/>
  </r>
  <r>
    <s v="IE00BFMNVB92"/>
    <x v="46"/>
    <n v="0"/>
    <x v="2"/>
    <x v="41"/>
    <x v="0"/>
    <x v="5"/>
    <s v="BLWEEAE ID Equity"/>
    <x v="93"/>
    <x v="0"/>
    <x v="8"/>
    <x v="0"/>
    <x v="0"/>
  </r>
  <r>
    <s v="IE00BFMNVB92"/>
    <x v="47"/>
    <n v="0"/>
    <x v="2"/>
    <x v="42"/>
    <x v="2"/>
    <x v="2"/>
    <s v="BLWEEAE ID Equity"/>
    <x v="93"/>
    <x v="0"/>
    <x v="8"/>
    <x v="0"/>
    <x v="0"/>
  </r>
  <r>
    <s v="IE00BFMNVB92"/>
    <x v="48"/>
    <n v="0"/>
    <x v="2"/>
    <x v="43"/>
    <x v="2"/>
    <x v="2"/>
    <s v="BLWEEAE ID Equity"/>
    <x v="93"/>
    <x v="0"/>
    <x v="8"/>
    <x v="0"/>
    <x v="0"/>
  </r>
  <r>
    <s v="IE00BFMNVB92"/>
    <x v="49"/>
    <n v="0"/>
    <x v="2"/>
    <x v="44"/>
    <x v="2"/>
    <x v="0"/>
    <s v="BLWEEAE ID Equity"/>
    <x v="93"/>
    <x v="0"/>
    <x v="8"/>
    <x v="0"/>
    <x v="0"/>
  </r>
  <r>
    <s v="IE00BFMNVB92"/>
    <x v="50"/>
    <n v="0"/>
    <x v="2"/>
    <x v="45"/>
    <x v="2"/>
    <x v="0"/>
    <s v="BLWEEAE ID Equity"/>
    <x v="93"/>
    <x v="0"/>
    <x v="8"/>
    <x v="0"/>
    <x v="0"/>
  </r>
  <r>
    <s v="IE00BFMNVB92"/>
    <x v="51"/>
    <n v="0"/>
    <x v="2"/>
    <x v="46"/>
    <x v="2"/>
    <x v="4"/>
    <s v="BLWEEAE ID Equity"/>
    <x v="93"/>
    <x v="0"/>
    <x v="8"/>
    <x v="0"/>
    <x v="0"/>
  </r>
  <r>
    <s v="IE00BFMNVB92"/>
    <x v="52"/>
    <n v="0"/>
    <x v="2"/>
    <x v="47"/>
    <x v="2"/>
    <x v="4"/>
    <s v="BLWEEAE ID Equity"/>
    <x v="93"/>
    <x v="0"/>
    <x v="8"/>
    <x v="0"/>
    <x v="0"/>
  </r>
  <r>
    <s v="IE00BFMNVB92"/>
    <x v="53"/>
    <n v="0"/>
    <x v="2"/>
    <x v="48"/>
    <x v="2"/>
    <x v="5"/>
    <s v="BLWEEAE ID Equity"/>
    <x v="93"/>
    <x v="0"/>
    <x v="8"/>
    <x v="0"/>
    <x v="0"/>
  </r>
  <r>
    <s v="IE00BFMNVB92"/>
    <x v="54"/>
    <n v="0"/>
    <x v="2"/>
    <x v="49"/>
    <x v="2"/>
    <x v="5"/>
    <s v="BLWEEAE ID Equity"/>
    <x v="93"/>
    <x v="0"/>
    <x v="8"/>
    <x v="0"/>
    <x v="0"/>
  </r>
  <r>
    <s v="IE00BFMNVB92"/>
    <x v="55"/>
    <n v="0"/>
    <x v="2"/>
    <x v="50"/>
    <x v="3"/>
    <x v="2"/>
    <s v="BLWEEAE ID Equity"/>
    <x v="93"/>
    <x v="0"/>
    <x v="8"/>
    <x v="0"/>
    <x v="0"/>
  </r>
  <r>
    <s v="IE00BFMNVB92"/>
    <x v="56"/>
    <n v="0"/>
    <x v="2"/>
    <x v="51"/>
    <x v="3"/>
    <x v="2"/>
    <s v="BLWEEAE ID Equity"/>
    <x v="93"/>
    <x v="0"/>
    <x v="8"/>
    <x v="0"/>
    <x v="0"/>
  </r>
  <r>
    <s v="IE00BFMNVB92"/>
    <x v="57"/>
    <n v="0"/>
    <x v="2"/>
    <x v="52"/>
    <x v="3"/>
    <x v="0"/>
    <s v="BLWEEAE ID Equity"/>
    <x v="93"/>
    <x v="0"/>
    <x v="8"/>
    <x v="0"/>
    <x v="0"/>
  </r>
  <r>
    <s v="IE00BFMNVB92"/>
    <x v="58"/>
    <n v="0"/>
    <x v="2"/>
    <x v="53"/>
    <x v="3"/>
    <x v="0"/>
    <s v="BLWEEAE ID Equity"/>
    <x v="93"/>
    <x v="0"/>
    <x v="8"/>
    <x v="0"/>
    <x v="0"/>
  </r>
  <r>
    <s v="IE00BFMNVB92"/>
    <x v="59"/>
    <n v="0"/>
    <x v="2"/>
    <x v="54"/>
    <x v="3"/>
    <x v="4"/>
    <s v="BLWEEAE ID Equity"/>
    <x v="93"/>
    <x v="0"/>
    <x v="8"/>
    <x v="0"/>
    <x v="0"/>
  </r>
  <r>
    <s v="IE00BFMNVB92"/>
    <x v="60"/>
    <n v="0"/>
    <x v="2"/>
    <x v="55"/>
    <x v="3"/>
    <x v="4"/>
    <s v="BLWEEAE ID Equity"/>
    <x v="93"/>
    <x v="0"/>
    <x v="8"/>
    <x v="0"/>
    <x v="0"/>
  </r>
  <r>
    <s v="IE00BFMNVB92"/>
    <x v="61"/>
    <n v="0"/>
    <x v="2"/>
    <x v="56"/>
    <x v="3"/>
    <x v="5"/>
    <s v="BLWEEAE ID Equity"/>
    <x v="93"/>
    <x v="0"/>
    <x v="8"/>
    <x v="0"/>
    <x v="0"/>
  </r>
  <r>
    <s v="IE00BFMNVB92"/>
    <x v="62"/>
    <n v="0"/>
    <x v="2"/>
    <x v="57"/>
    <x v="3"/>
    <x v="5"/>
    <s v="BLWEEAE ID Equity"/>
    <x v="93"/>
    <x v="0"/>
    <x v="8"/>
    <x v="0"/>
    <x v="0"/>
  </r>
  <r>
    <s v="LU1901202280"/>
    <x v="31"/>
    <n v="57"/>
    <x v="2"/>
    <x v="26"/>
    <x v="1"/>
    <x v="2"/>
    <s v="DREQUIA LX Equity"/>
    <x v="64"/>
    <x v="0"/>
    <x v="16"/>
    <x v="0"/>
    <x v="0"/>
  </r>
  <r>
    <s v="LU1901202280"/>
    <x v="32"/>
    <n v="45"/>
    <x v="2"/>
    <x v="27"/>
    <x v="1"/>
    <x v="2"/>
    <s v="DREQUIA LX Equity"/>
    <x v="64"/>
    <x v="0"/>
    <x v="16"/>
    <x v="0"/>
    <x v="0"/>
  </r>
  <r>
    <s v="LU1901202280"/>
    <x v="33"/>
    <n v="40"/>
    <x v="2"/>
    <x v="28"/>
    <x v="1"/>
    <x v="0"/>
    <s v="DREQUIA LX Equity"/>
    <x v="64"/>
    <x v="0"/>
    <x v="16"/>
    <x v="0"/>
    <x v="0"/>
  </r>
  <r>
    <s v="LU1901202280"/>
    <x v="34"/>
    <n v="32"/>
    <x v="2"/>
    <x v="29"/>
    <x v="1"/>
    <x v="0"/>
    <s v="DREQUIA LX Equity"/>
    <x v="64"/>
    <x v="0"/>
    <x v="16"/>
    <x v="0"/>
    <x v="0"/>
  </r>
  <r>
    <s v="LU1901202280"/>
    <x v="35"/>
    <n v="22"/>
    <x v="2"/>
    <x v="30"/>
    <x v="1"/>
    <x v="4"/>
    <s v="DREQUIA LX Equity"/>
    <x v="64"/>
    <x v="0"/>
    <x v="16"/>
    <x v="0"/>
    <x v="0"/>
  </r>
  <r>
    <s v="LU1901202280"/>
    <x v="36"/>
    <n v="16"/>
    <x v="2"/>
    <x v="31"/>
    <x v="1"/>
    <x v="4"/>
    <s v="DREQUIA LX Equity"/>
    <x v="64"/>
    <x v="0"/>
    <x v="16"/>
    <x v="0"/>
    <x v="0"/>
  </r>
  <r>
    <s v="LU1901202280"/>
    <x v="37"/>
    <n v="16"/>
    <x v="2"/>
    <x v="32"/>
    <x v="1"/>
    <x v="5"/>
    <s v="DREQUIA LX Equity"/>
    <x v="64"/>
    <x v="0"/>
    <x v="16"/>
    <x v="0"/>
    <x v="0"/>
  </r>
  <r>
    <s v="LU1901202280"/>
    <x v="38"/>
    <n v="13"/>
    <x v="2"/>
    <x v="33"/>
    <x v="1"/>
    <x v="5"/>
    <s v="DREQUIA LX Equity"/>
    <x v="64"/>
    <x v="0"/>
    <x v="16"/>
    <x v="0"/>
    <x v="0"/>
  </r>
  <r>
    <s v="LU1901202280"/>
    <x v="39"/>
    <n v="57"/>
    <x v="2"/>
    <x v="34"/>
    <x v="0"/>
    <x v="2"/>
    <s v="DREQUIA LX Equity"/>
    <x v="64"/>
    <x v="0"/>
    <x v="16"/>
    <x v="0"/>
    <x v="0"/>
  </r>
  <r>
    <s v="LU1901202280"/>
    <x v="40"/>
    <n v="45"/>
    <x v="2"/>
    <x v="35"/>
    <x v="0"/>
    <x v="2"/>
    <s v="DREQUIA LX Equity"/>
    <x v="64"/>
    <x v="0"/>
    <x v="16"/>
    <x v="0"/>
    <x v="0"/>
  </r>
  <r>
    <s v="LU1901202280"/>
    <x v="41"/>
    <n v="40"/>
    <x v="2"/>
    <x v="36"/>
    <x v="0"/>
    <x v="0"/>
    <s v="DREQUIA LX Equity"/>
    <x v="64"/>
    <x v="0"/>
    <x v="16"/>
    <x v="0"/>
    <x v="0"/>
  </r>
  <r>
    <s v="LU1901202280"/>
    <x v="42"/>
    <n v="32"/>
    <x v="2"/>
    <x v="37"/>
    <x v="0"/>
    <x v="0"/>
    <s v="DREQUIA LX Equity"/>
    <x v="64"/>
    <x v="0"/>
    <x v="16"/>
    <x v="0"/>
    <x v="0"/>
  </r>
  <r>
    <s v="LU1901202280"/>
    <x v="43"/>
    <n v="22"/>
    <x v="2"/>
    <x v="38"/>
    <x v="0"/>
    <x v="4"/>
    <s v="DREQUIA LX Equity"/>
    <x v="64"/>
    <x v="0"/>
    <x v="16"/>
    <x v="0"/>
    <x v="0"/>
  </r>
  <r>
    <s v="LU1901202280"/>
    <x v="44"/>
    <n v="16"/>
    <x v="2"/>
    <x v="39"/>
    <x v="0"/>
    <x v="4"/>
    <s v="DREQUIA LX Equity"/>
    <x v="64"/>
    <x v="0"/>
    <x v="16"/>
    <x v="0"/>
    <x v="0"/>
  </r>
  <r>
    <s v="LU1901202280"/>
    <x v="45"/>
    <n v="16"/>
    <x v="2"/>
    <x v="40"/>
    <x v="0"/>
    <x v="5"/>
    <s v="DREQUIA LX Equity"/>
    <x v="64"/>
    <x v="0"/>
    <x v="16"/>
    <x v="0"/>
    <x v="0"/>
  </r>
  <r>
    <s v="LU1901202280"/>
    <x v="46"/>
    <n v="13"/>
    <x v="2"/>
    <x v="41"/>
    <x v="0"/>
    <x v="5"/>
    <s v="DREQUIA LX Equity"/>
    <x v="64"/>
    <x v="0"/>
    <x v="16"/>
    <x v="0"/>
    <x v="0"/>
  </r>
  <r>
    <s v="LU1901202280"/>
    <x v="47"/>
    <n v="57"/>
    <x v="2"/>
    <x v="42"/>
    <x v="2"/>
    <x v="2"/>
    <s v="DREQUIA LX Equity"/>
    <x v="64"/>
    <x v="0"/>
    <x v="16"/>
    <x v="0"/>
    <x v="0"/>
  </r>
  <r>
    <s v="LU1901202280"/>
    <x v="48"/>
    <n v="45"/>
    <x v="2"/>
    <x v="43"/>
    <x v="2"/>
    <x v="2"/>
    <s v="DREQUIA LX Equity"/>
    <x v="64"/>
    <x v="0"/>
    <x v="16"/>
    <x v="0"/>
    <x v="0"/>
  </r>
  <r>
    <s v="LU1901202280"/>
    <x v="49"/>
    <n v="40"/>
    <x v="2"/>
    <x v="44"/>
    <x v="2"/>
    <x v="0"/>
    <s v="DREQUIA LX Equity"/>
    <x v="64"/>
    <x v="0"/>
    <x v="16"/>
    <x v="0"/>
    <x v="0"/>
  </r>
  <r>
    <s v="LU1901202280"/>
    <x v="50"/>
    <n v="32"/>
    <x v="2"/>
    <x v="45"/>
    <x v="2"/>
    <x v="0"/>
    <s v="DREQUIA LX Equity"/>
    <x v="64"/>
    <x v="0"/>
    <x v="16"/>
    <x v="0"/>
    <x v="0"/>
  </r>
  <r>
    <s v="LU1901202280"/>
    <x v="51"/>
    <n v="22"/>
    <x v="2"/>
    <x v="46"/>
    <x v="2"/>
    <x v="4"/>
    <s v="DREQUIA LX Equity"/>
    <x v="64"/>
    <x v="0"/>
    <x v="16"/>
    <x v="0"/>
    <x v="0"/>
  </r>
  <r>
    <s v="LU1901202280"/>
    <x v="52"/>
    <n v="16"/>
    <x v="2"/>
    <x v="47"/>
    <x v="2"/>
    <x v="4"/>
    <s v="DREQUIA LX Equity"/>
    <x v="64"/>
    <x v="0"/>
    <x v="16"/>
    <x v="0"/>
    <x v="0"/>
  </r>
  <r>
    <s v="LU1901202280"/>
    <x v="53"/>
    <n v="16"/>
    <x v="2"/>
    <x v="48"/>
    <x v="2"/>
    <x v="5"/>
    <s v="DREQUIA LX Equity"/>
    <x v="64"/>
    <x v="0"/>
    <x v="16"/>
    <x v="0"/>
    <x v="0"/>
  </r>
  <r>
    <s v="LU1901202280"/>
    <x v="54"/>
    <n v="13"/>
    <x v="2"/>
    <x v="49"/>
    <x v="2"/>
    <x v="5"/>
    <s v="DREQUIA LX Equity"/>
    <x v="64"/>
    <x v="0"/>
    <x v="16"/>
    <x v="0"/>
    <x v="0"/>
  </r>
  <r>
    <s v="LU1901202280"/>
    <x v="55"/>
    <n v="57"/>
    <x v="2"/>
    <x v="50"/>
    <x v="3"/>
    <x v="2"/>
    <s v="DREQUIA LX Equity"/>
    <x v="64"/>
    <x v="0"/>
    <x v="16"/>
    <x v="0"/>
    <x v="0"/>
  </r>
  <r>
    <s v="LU1901202280"/>
    <x v="56"/>
    <n v="45"/>
    <x v="2"/>
    <x v="51"/>
    <x v="3"/>
    <x v="2"/>
    <s v="DREQUIA LX Equity"/>
    <x v="64"/>
    <x v="0"/>
    <x v="16"/>
    <x v="0"/>
    <x v="0"/>
  </r>
  <r>
    <s v="LU1901202280"/>
    <x v="57"/>
    <n v="40"/>
    <x v="2"/>
    <x v="52"/>
    <x v="3"/>
    <x v="0"/>
    <s v="DREQUIA LX Equity"/>
    <x v="64"/>
    <x v="0"/>
    <x v="16"/>
    <x v="0"/>
    <x v="0"/>
  </r>
  <r>
    <s v="LU1901202280"/>
    <x v="58"/>
    <n v="32"/>
    <x v="2"/>
    <x v="53"/>
    <x v="3"/>
    <x v="0"/>
    <s v="DREQUIA LX Equity"/>
    <x v="64"/>
    <x v="0"/>
    <x v="16"/>
    <x v="0"/>
    <x v="0"/>
  </r>
  <r>
    <s v="LU1901202280"/>
    <x v="59"/>
    <n v="22"/>
    <x v="2"/>
    <x v="54"/>
    <x v="3"/>
    <x v="4"/>
    <s v="DREQUIA LX Equity"/>
    <x v="64"/>
    <x v="0"/>
    <x v="16"/>
    <x v="0"/>
    <x v="0"/>
  </r>
  <r>
    <s v="LU1901202280"/>
    <x v="60"/>
    <n v="16"/>
    <x v="2"/>
    <x v="55"/>
    <x v="3"/>
    <x v="4"/>
    <s v="DREQUIA LX Equity"/>
    <x v="64"/>
    <x v="0"/>
    <x v="16"/>
    <x v="0"/>
    <x v="0"/>
  </r>
  <r>
    <s v="LU1901202280"/>
    <x v="61"/>
    <n v="16"/>
    <x v="2"/>
    <x v="56"/>
    <x v="3"/>
    <x v="5"/>
    <s v="DREQUIA LX Equity"/>
    <x v="64"/>
    <x v="0"/>
    <x v="16"/>
    <x v="0"/>
    <x v="0"/>
  </r>
  <r>
    <s v="LU1901202280"/>
    <x v="62"/>
    <n v="13"/>
    <x v="2"/>
    <x v="57"/>
    <x v="3"/>
    <x v="5"/>
    <s v="DREQUIA LX Equity"/>
    <x v="64"/>
    <x v="0"/>
    <x v="16"/>
    <x v="0"/>
    <x v="0"/>
  </r>
  <r>
    <s v="LU1901202363"/>
    <x v="31"/>
    <n v="8"/>
    <x v="2"/>
    <x v="26"/>
    <x v="1"/>
    <x v="2"/>
    <s v="DRGLCRA LX Equity"/>
    <x v="65"/>
    <x v="3"/>
    <x v="17"/>
    <x v="0"/>
    <x v="0"/>
  </r>
  <r>
    <s v="LU1901202363"/>
    <x v="32"/>
    <n v="8"/>
    <x v="2"/>
    <x v="27"/>
    <x v="1"/>
    <x v="2"/>
    <s v="DRGLCRA LX Equity"/>
    <x v="65"/>
    <x v="3"/>
    <x v="17"/>
    <x v="0"/>
    <x v="0"/>
  </r>
  <r>
    <s v="LU1901202363"/>
    <x v="33"/>
    <n v="25"/>
    <x v="2"/>
    <x v="28"/>
    <x v="1"/>
    <x v="0"/>
    <s v="DRGLCRA LX Equity"/>
    <x v="65"/>
    <x v="3"/>
    <x v="17"/>
    <x v="0"/>
    <x v="0"/>
  </r>
  <r>
    <s v="LU1901202363"/>
    <x v="34"/>
    <n v="16"/>
    <x v="2"/>
    <x v="29"/>
    <x v="1"/>
    <x v="0"/>
    <s v="DRGLCRA LX Equity"/>
    <x v="65"/>
    <x v="3"/>
    <x v="17"/>
    <x v="0"/>
    <x v="0"/>
  </r>
  <r>
    <s v="LU1901202363"/>
    <x v="35"/>
    <n v="31"/>
    <x v="2"/>
    <x v="30"/>
    <x v="1"/>
    <x v="4"/>
    <s v="DRGLCRA LX Equity"/>
    <x v="65"/>
    <x v="3"/>
    <x v="17"/>
    <x v="0"/>
    <x v="0"/>
  </r>
  <r>
    <s v="LU1901202363"/>
    <x v="36"/>
    <n v="25"/>
    <x v="2"/>
    <x v="31"/>
    <x v="1"/>
    <x v="4"/>
    <s v="DRGLCRA LX Equity"/>
    <x v="65"/>
    <x v="3"/>
    <x v="17"/>
    <x v="0"/>
    <x v="0"/>
  </r>
  <r>
    <s v="LU1901202363"/>
    <x v="37"/>
    <n v="48"/>
    <x v="2"/>
    <x v="32"/>
    <x v="1"/>
    <x v="5"/>
    <s v="DRGLCRA LX Equity"/>
    <x v="65"/>
    <x v="3"/>
    <x v="17"/>
    <x v="0"/>
    <x v="0"/>
  </r>
  <r>
    <s v="LU1901202363"/>
    <x v="38"/>
    <n v="32"/>
    <x v="2"/>
    <x v="33"/>
    <x v="1"/>
    <x v="5"/>
    <s v="DRGLCRA LX Equity"/>
    <x v="65"/>
    <x v="3"/>
    <x v="17"/>
    <x v="0"/>
    <x v="0"/>
  </r>
  <r>
    <s v="LU1901202363"/>
    <x v="39"/>
    <n v="8"/>
    <x v="2"/>
    <x v="34"/>
    <x v="0"/>
    <x v="2"/>
    <s v="DRGLCRA LX Equity"/>
    <x v="65"/>
    <x v="3"/>
    <x v="17"/>
    <x v="0"/>
    <x v="0"/>
  </r>
  <r>
    <s v="LU1901202363"/>
    <x v="40"/>
    <n v="8"/>
    <x v="2"/>
    <x v="35"/>
    <x v="0"/>
    <x v="2"/>
    <s v="DRGLCRA LX Equity"/>
    <x v="65"/>
    <x v="3"/>
    <x v="17"/>
    <x v="0"/>
    <x v="0"/>
  </r>
  <r>
    <s v="LU1901202363"/>
    <x v="41"/>
    <n v="25"/>
    <x v="2"/>
    <x v="36"/>
    <x v="0"/>
    <x v="0"/>
    <s v="DRGLCRA LX Equity"/>
    <x v="65"/>
    <x v="3"/>
    <x v="17"/>
    <x v="0"/>
    <x v="0"/>
  </r>
  <r>
    <s v="LU1901202363"/>
    <x v="42"/>
    <n v="16"/>
    <x v="2"/>
    <x v="37"/>
    <x v="0"/>
    <x v="0"/>
    <s v="DRGLCRA LX Equity"/>
    <x v="65"/>
    <x v="3"/>
    <x v="17"/>
    <x v="0"/>
    <x v="0"/>
  </r>
  <r>
    <s v="LU1901202363"/>
    <x v="43"/>
    <n v="31"/>
    <x v="2"/>
    <x v="38"/>
    <x v="0"/>
    <x v="4"/>
    <s v="DRGLCRA LX Equity"/>
    <x v="65"/>
    <x v="3"/>
    <x v="17"/>
    <x v="0"/>
    <x v="0"/>
  </r>
  <r>
    <s v="LU1901202363"/>
    <x v="44"/>
    <n v="25"/>
    <x v="2"/>
    <x v="39"/>
    <x v="0"/>
    <x v="4"/>
    <s v="DRGLCRA LX Equity"/>
    <x v="65"/>
    <x v="3"/>
    <x v="17"/>
    <x v="0"/>
    <x v="0"/>
  </r>
  <r>
    <s v="LU1901202363"/>
    <x v="45"/>
    <n v="48"/>
    <x v="2"/>
    <x v="40"/>
    <x v="0"/>
    <x v="5"/>
    <s v="DRGLCRA LX Equity"/>
    <x v="65"/>
    <x v="3"/>
    <x v="17"/>
    <x v="0"/>
    <x v="0"/>
  </r>
  <r>
    <s v="LU1901202363"/>
    <x v="46"/>
    <n v="32"/>
    <x v="2"/>
    <x v="41"/>
    <x v="0"/>
    <x v="5"/>
    <s v="DRGLCRA LX Equity"/>
    <x v="65"/>
    <x v="3"/>
    <x v="17"/>
    <x v="0"/>
    <x v="0"/>
  </r>
  <r>
    <s v="LU1901202363"/>
    <x v="47"/>
    <n v="8"/>
    <x v="2"/>
    <x v="42"/>
    <x v="2"/>
    <x v="2"/>
    <s v="DRGLCRA LX Equity"/>
    <x v="65"/>
    <x v="3"/>
    <x v="17"/>
    <x v="0"/>
    <x v="0"/>
  </r>
  <r>
    <s v="LU1901202363"/>
    <x v="48"/>
    <n v="8"/>
    <x v="2"/>
    <x v="43"/>
    <x v="2"/>
    <x v="2"/>
    <s v="DRGLCRA LX Equity"/>
    <x v="65"/>
    <x v="3"/>
    <x v="17"/>
    <x v="0"/>
    <x v="0"/>
  </r>
  <r>
    <s v="LU1901202363"/>
    <x v="49"/>
    <n v="25"/>
    <x v="2"/>
    <x v="44"/>
    <x v="2"/>
    <x v="0"/>
    <s v="DRGLCRA LX Equity"/>
    <x v="65"/>
    <x v="3"/>
    <x v="17"/>
    <x v="0"/>
    <x v="0"/>
  </r>
  <r>
    <s v="LU1901202363"/>
    <x v="50"/>
    <n v="16"/>
    <x v="2"/>
    <x v="45"/>
    <x v="2"/>
    <x v="0"/>
    <s v="DRGLCRA LX Equity"/>
    <x v="65"/>
    <x v="3"/>
    <x v="17"/>
    <x v="0"/>
    <x v="0"/>
  </r>
  <r>
    <s v="LU1901202363"/>
    <x v="51"/>
    <n v="31"/>
    <x v="2"/>
    <x v="46"/>
    <x v="2"/>
    <x v="4"/>
    <s v="DRGLCRA LX Equity"/>
    <x v="65"/>
    <x v="3"/>
    <x v="17"/>
    <x v="0"/>
    <x v="0"/>
  </r>
  <r>
    <s v="LU1901202363"/>
    <x v="52"/>
    <n v="25"/>
    <x v="2"/>
    <x v="47"/>
    <x v="2"/>
    <x v="4"/>
    <s v="DRGLCRA LX Equity"/>
    <x v="65"/>
    <x v="3"/>
    <x v="17"/>
    <x v="0"/>
    <x v="0"/>
  </r>
  <r>
    <s v="LU1901202363"/>
    <x v="53"/>
    <n v="48"/>
    <x v="2"/>
    <x v="48"/>
    <x v="2"/>
    <x v="5"/>
    <s v="DRGLCRA LX Equity"/>
    <x v="65"/>
    <x v="3"/>
    <x v="17"/>
    <x v="0"/>
    <x v="0"/>
  </r>
  <r>
    <s v="LU1901202363"/>
    <x v="54"/>
    <n v="32"/>
    <x v="2"/>
    <x v="49"/>
    <x v="2"/>
    <x v="5"/>
    <s v="DRGLCRA LX Equity"/>
    <x v="65"/>
    <x v="3"/>
    <x v="17"/>
    <x v="0"/>
    <x v="0"/>
  </r>
  <r>
    <s v="LU1901202363"/>
    <x v="55"/>
    <n v="8"/>
    <x v="2"/>
    <x v="50"/>
    <x v="3"/>
    <x v="2"/>
    <s v="DRGLCRA LX Equity"/>
    <x v="65"/>
    <x v="3"/>
    <x v="17"/>
    <x v="0"/>
    <x v="0"/>
  </r>
  <r>
    <s v="LU1901202363"/>
    <x v="56"/>
    <n v="8"/>
    <x v="2"/>
    <x v="51"/>
    <x v="3"/>
    <x v="2"/>
    <s v="DRGLCRA LX Equity"/>
    <x v="65"/>
    <x v="3"/>
    <x v="17"/>
    <x v="0"/>
    <x v="0"/>
  </r>
  <r>
    <s v="LU1901202363"/>
    <x v="57"/>
    <n v="25"/>
    <x v="2"/>
    <x v="52"/>
    <x v="3"/>
    <x v="0"/>
    <s v="DRGLCRA LX Equity"/>
    <x v="65"/>
    <x v="3"/>
    <x v="17"/>
    <x v="0"/>
    <x v="0"/>
  </r>
  <r>
    <s v="LU1901202363"/>
    <x v="58"/>
    <n v="16"/>
    <x v="2"/>
    <x v="53"/>
    <x v="3"/>
    <x v="0"/>
    <s v="DRGLCRA LX Equity"/>
    <x v="65"/>
    <x v="3"/>
    <x v="17"/>
    <x v="0"/>
    <x v="0"/>
  </r>
  <r>
    <s v="LU1901202363"/>
    <x v="59"/>
    <n v="31"/>
    <x v="2"/>
    <x v="54"/>
    <x v="3"/>
    <x v="4"/>
    <s v="DRGLCRA LX Equity"/>
    <x v="65"/>
    <x v="3"/>
    <x v="17"/>
    <x v="0"/>
    <x v="0"/>
  </r>
  <r>
    <s v="LU1901202363"/>
    <x v="60"/>
    <n v="25"/>
    <x v="2"/>
    <x v="55"/>
    <x v="3"/>
    <x v="4"/>
    <s v="DRGLCRA LX Equity"/>
    <x v="65"/>
    <x v="3"/>
    <x v="17"/>
    <x v="0"/>
    <x v="0"/>
  </r>
  <r>
    <s v="LU1901202363"/>
    <x v="61"/>
    <n v="48"/>
    <x v="2"/>
    <x v="56"/>
    <x v="3"/>
    <x v="5"/>
    <s v="DRGLCRA LX Equity"/>
    <x v="65"/>
    <x v="3"/>
    <x v="17"/>
    <x v="0"/>
    <x v="0"/>
  </r>
  <r>
    <s v="LU1901202363"/>
    <x v="62"/>
    <n v="32"/>
    <x v="2"/>
    <x v="57"/>
    <x v="3"/>
    <x v="5"/>
    <s v="DRGLCRA LX Equity"/>
    <x v="65"/>
    <x v="3"/>
    <x v="17"/>
    <x v="0"/>
    <x v="0"/>
  </r>
  <r>
    <s v="US4642872349"/>
    <x v="31"/>
    <n v="5"/>
    <x v="2"/>
    <x v="26"/>
    <x v="1"/>
    <x v="2"/>
    <s v="EEM US Equity"/>
    <x v="94"/>
    <x v="0"/>
    <x v="21"/>
    <x v="3"/>
    <x v="0"/>
  </r>
  <r>
    <s v="US4642872349"/>
    <x v="32"/>
    <n v="4"/>
    <x v="2"/>
    <x v="27"/>
    <x v="1"/>
    <x v="2"/>
    <s v="EEM US Equity"/>
    <x v="94"/>
    <x v="0"/>
    <x v="21"/>
    <x v="3"/>
    <x v="0"/>
  </r>
  <r>
    <s v="US4642872349"/>
    <x v="33"/>
    <n v="4"/>
    <x v="2"/>
    <x v="28"/>
    <x v="1"/>
    <x v="0"/>
    <s v="EEM US Equity"/>
    <x v="94"/>
    <x v="0"/>
    <x v="21"/>
    <x v="3"/>
    <x v="0"/>
  </r>
  <r>
    <s v="US4642872349"/>
    <x v="34"/>
    <n v="3"/>
    <x v="2"/>
    <x v="29"/>
    <x v="1"/>
    <x v="0"/>
    <s v="EEM US Equity"/>
    <x v="94"/>
    <x v="0"/>
    <x v="21"/>
    <x v="3"/>
    <x v="0"/>
  </r>
  <r>
    <s v="US4642872349"/>
    <x v="35"/>
    <n v="3"/>
    <x v="2"/>
    <x v="30"/>
    <x v="1"/>
    <x v="4"/>
    <s v="EEM US Equity"/>
    <x v="94"/>
    <x v="0"/>
    <x v="21"/>
    <x v="3"/>
    <x v="0"/>
  </r>
  <r>
    <s v="US4642872349"/>
    <x v="36"/>
    <n v="3"/>
    <x v="2"/>
    <x v="31"/>
    <x v="1"/>
    <x v="4"/>
    <s v="EEM US Equity"/>
    <x v="94"/>
    <x v="0"/>
    <x v="21"/>
    <x v="3"/>
    <x v="0"/>
  </r>
  <r>
    <s v="US4642872349"/>
    <x v="37"/>
    <n v="2"/>
    <x v="2"/>
    <x v="32"/>
    <x v="1"/>
    <x v="5"/>
    <s v="EEM US Equity"/>
    <x v="94"/>
    <x v="0"/>
    <x v="21"/>
    <x v="3"/>
    <x v="0"/>
  </r>
  <r>
    <s v="US4642872349"/>
    <x v="38"/>
    <n v="2"/>
    <x v="2"/>
    <x v="33"/>
    <x v="1"/>
    <x v="5"/>
    <s v="EEM US Equity"/>
    <x v="94"/>
    <x v="0"/>
    <x v="21"/>
    <x v="3"/>
    <x v="0"/>
  </r>
  <r>
    <s v="US4642872349"/>
    <x v="39"/>
    <n v="5"/>
    <x v="2"/>
    <x v="34"/>
    <x v="0"/>
    <x v="2"/>
    <s v="EEM US Equity"/>
    <x v="94"/>
    <x v="0"/>
    <x v="21"/>
    <x v="3"/>
    <x v="0"/>
  </r>
  <r>
    <s v="US4642872349"/>
    <x v="40"/>
    <n v="4"/>
    <x v="2"/>
    <x v="35"/>
    <x v="0"/>
    <x v="2"/>
    <s v="EEM US Equity"/>
    <x v="94"/>
    <x v="0"/>
    <x v="21"/>
    <x v="3"/>
    <x v="0"/>
  </r>
  <r>
    <s v="US4642872349"/>
    <x v="41"/>
    <n v="4"/>
    <x v="2"/>
    <x v="36"/>
    <x v="0"/>
    <x v="0"/>
    <s v="EEM US Equity"/>
    <x v="94"/>
    <x v="0"/>
    <x v="21"/>
    <x v="3"/>
    <x v="0"/>
  </r>
  <r>
    <s v="US4642872349"/>
    <x v="42"/>
    <n v="3"/>
    <x v="2"/>
    <x v="37"/>
    <x v="0"/>
    <x v="0"/>
    <s v="EEM US Equity"/>
    <x v="94"/>
    <x v="0"/>
    <x v="21"/>
    <x v="3"/>
    <x v="0"/>
  </r>
  <r>
    <s v="US4642872349"/>
    <x v="43"/>
    <n v="3"/>
    <x v="2"/>
    <x v="38"/>
    <x v="0"/>
    <x v="4"/>
    <s v="EEM US Equity"/>
    <x v="94"/>
    <x v="0"/>
    <x v="21"/>
    <x v="3"/>
    <x v="0"/>
  </r>
  <r>
    <s v="US4642872349"/>
    <x v="44"/>
    <n v="3"/>
    <x v="2"/>
    <x v="39"/>
    <x v="0"/>
    <x v="4"/>
    <s v="EEM US Equity"/>
    <x v="94"/>
    <x v="0"/>
    <x v="21"/>
    <x v="3"/>
    <x v="0"/>
  </r>
  <r>
    <s v="US4642872349"/>
    <x v="45"/>
    <n v="2"/>
    <x v="2"/>
    <x v="40"/>
    <x v="0"/>
    <x v="5"/>
    <s v="EEM US Equity"/>
    <x v="94"/>
    <x v="0"/>
    <x v="21"/>
    <x v="3"/>
    <x v="0"/>
  </r>
  <r>
    <s v="US4642872349"/>
    <x v="46"/>
    <n v="2"/>
    <x v="2"/>
    <x v="41"/>
    <x v="0"/>
    <x v="5"/>
    <s v="EEM US Equity"/>
    <x v="94"/>
    <x v="0"/>
    <x v="21"/>
    <x v="3"/>
    <x v="0"/>
  </r>
  <r>
    <s v="US4642872349"/>
    <x v="47"/>
    <n v="5"/>
    <x v="2"/>
    <x v="42"/>
    <x v="2"/>
    <x v="2"/>
    <s v="EEM US Equity"/>
    <x v="94"/>
    <x v="0"/>
    <x v="21"/>
    <x v="3"/>
    <x v="0"/>
  </r>
  <r>
    <s v="US4642872349"/>
    <x v="48"/>
    <n v="4"/>
    <x v="2"/>
    <x v="43"/>
    <x v="2"/>
    <x v="2"/>
    <s v="EEM US Equity"/>
    <x v="94"/>
    <x v="0"/>
    <x v="21"/>
    <x v="3"/>
    <x v="0"/>
  </r>
  <r>
    <s v="US4642872349"/>
    <x v="49"/>
    <n v="4"/>
    <x v="2"/>
    <x v="44"/>
    <x v="2"/>
    <x v="0"/>
    <s v="EEM US Equity"/>
    <x v="94"/>
    <x v="0"/>
    <x v="21"/>
    <x v="3"/>
    <x v="0"/>
  </r>
  <r>
    <s v="US4642872349"/>
    <x v="50"/>
    <n v="3"/>
    <x v="2"/>
    <x v="45"/>
    <x v="2"/>
    <x v="0"/>
    <s v="EEM US Equity"/>
    <x v="94"/>
    <x v="0"/>
    <x v="21"/>
    <x v="3"/>
    <x v="0"/>
  </r>
  <r>
    <s v="US4642872349"/>
    <x v="51"/>
    <n v="3"/>
    <x v="2"/>
    <x v="46"/>
    <x v="2"/>
    <x v="4"/>
    <s v="EEM US Equity"/>
    <x v="94"/>
    <x v="0"/>
    <x v="21"/>
    <x v="3"/>
    <x v="0"/>
  </r>
  <r>
    <s v="US4642872349"/>
    <x v="52"/>
    <n v="3"/>
    <x v="2"/>
    <x v="47"/>
    <x v="2"/>
    <x v="4"/>
    <s v="EEM US Equity"/>
    <x v="94"/>
    <x v="0"/>
    <x v="21"/>
    <x v="3"/>
    <x v="0"/>
  </r>
  <r>
    <s v="US4642872349"/>
    <x v="53"/>
    <n v="2"/>
    <x v="2"/>
    <x v="48"/>
    <x v="2"/>
    <x v="5"/>
    <s v="EEM US Equity"/>
    <x v="94"/>
    <x v="0"/>
    <x v="21"/>
    <x v="3"/>
    <x v="0"/>
  </r>
  <r>
    <s v="US4642872349"/>
    <x v="54"/>
    <n v="2"/>
    <x v="2"/>
    <x v="49"/>
    <x v="2"/>
    <x v="5"/>
    <s v="EEM US Equity"/>
    <x v="94"/>
    <x v="0"/>
    <x v="21"/>
    <x v="3"/>
    <x v="0"/>
  </r>
  <r>
    <s v="US4642872349"/>
    <x v="55"/>
    <n v="5"/>
    <x v="2"/>
    <x v="50"/>
    <x v="3"/>
    <x v="2"/>
    <s v="EEM US Equity"/>
    <x v="94"/>
    <x v="0"/>
    <x v="21"/>
    <x v="3"/>
    <x v="0"/>
  </r>
  <r>
    <s v="US4642872349"/>
    <x v="56"/>
    <n v="4"/>
    <x v="2"/>
    <x v="51"/>
    <x v="3"/>
    <x v="2"/>
    <s v="EEM US Equity"/>
    <x v="94"/>
    <x v="0"/>
    <x v="21"/>
    <x v="3"/>
    <x v="0"/>
  </r>
  <r>
    <s v="US4642872349"/>
    <x v="57"/>
    <n v="4"/>
    <x v="2"/>
    <x v="52"/>
    <x v="3"/>
    <x v="0"/>
    <s v="EEM US Equity"/>
    <x v="94"/>
    <x v="0"/>
    <x v="21"/>
    <x v="3"/>
    <x v="0"/>
  </r>
  <r>
    <s v="US4642872349"/>
    <x v="58"/>
    <n v="3"/>
    <x v="2"/>
    <x v="53"/>
    <x v="3"/>
    <x v="0"/>
    <s v="EEM US Equity"/>
    <x v="94"/>
    <x v="0"/>
    <x v="21"/>
    <x v="3"/>
    <x v="0"/>
  </r>
  <r>
    <s v="US4642872349"/>
    <x v="59"/>
    <n v="3"/>
    <x v="2"/>
    <x v="54"/>
    <x v="3"/>
    <x v="4"/>
    <s v="EEM US Equity"/>
    <x v="94"/>
    <x v="0"/>
    <x v="21"/>
    <x v="3"/>
    <x v="0"/>
  </r>
  <r>
    <s v="US4642872349"/>
    <x v="60"/>
    <n v="3"/>
    <x v="2"/>
    <x v="55"/>
    <x v="3"/>
    <x v="4"/>
    <s v="EEM US Equity"/>
    <x v="94"/>
    <x v="0"/>
    <x v="21"/>
    <x v="3"/>
    <x v="0"/>
  </r>
  <r>
    <s v="US4642872349"/>
    <x v="61"/>
    <n v="2"/>
    <x v="2"/>
    <x v="56"/>
    <x v="3"/>
    <x v="5"/>
    <s v="EEM US Equity"/>
    <x v="94"/>
    <x v="0"/>
    <x v="21"/>
    <x v="3"/>
    <x v="0"/>
  </r>
  <r>
    <s v="US4642872349"/>
    <x v="62"/>
    <n v="2"/>
    <x v="2"/>
    <x v="57"/>
    <x v="3"/>
    <x v="5"/>
    <s v="EEM US Equity"/>
    <x v="94"/>
    <x v="0"/>
    <x v="21"/>
    <x v="3"/>
    <x v="0"/>
  </r>
  <r>
    <s v="LU1693257310"/>
    <x v="31"/>
    <n v="0"/>
    <x v="2"/>
    <x v="26"/>
    <x v="1"/>
    <x v="2"/>
    <s v="ESLDILA LX Equity"/>
    <x v="63"/>
    <x v="1"/>
    <x v="15"/>
    <x v="0"/>
    <x v="0"/>
  </r>
  <r>
    <s v="LU1693257310"/>
    <x v="32"/>
    <n v="0"/>
    <x v="2"/>
    <x v="27"/>
    <x v="1"/>
    <x v="2"/>
    <s v="ESLDILA LX Equity"/>
    <x v="63"/>
    <x v="1"/>
    <x v="15"/>
    <x v="0"/>
    <x v="0"/>
  </r>
  <r>
    <s v="LU1693257310"/>
    <x v="33"/>
    <n v="3"/>
    <x v="2"/>
    <x v="28"/>
    <x v="1"/>
    <x v="0"/>
    <s v="ESLDILA LX Equity"/>
    <x v="63"/>
    <x v="1"/>
    <x v="15"/>
    <x v="0"/>
    <x v="0"/>
  </r>
  <r>
    <s v="LU1693257310"/>
    <x v="34"/>
    <n v="3"/>
    <x v="2"/>
    <x v="29"/>
    <x v="1"/>
    <x v="0"/>
    <s v="ESLDILA LX Equity"/>
    <x v="63"/>
    <x v="1"/>
    <x v="15"/>
    <x v="0"/>
    <x v="0"/>
  </r>
  <r>
    <s v="LU1693257310"/>
    <x v="35"/>
    <n v="3"/>
    <x v="2"/>
    <x v="30"/>
    <x v="1"/>
    <x v="4"/>
    <s v="ESLDILA LX Equity"/>
    <x v="63"/>
    <x v="1"/>
    <x v="15"/>
    <x v="0"/>
    <x v="0"/>
  </r>
  <r>
    <s v="LU1693257310"/>
    <x v="36"/>
    <n v="3"/>
    <x v="2"/>
    <x v="31"/>
    <x v="1"/>
    <x v="4"/>
    <s v="ESLDILA LX Equity"/>
    <x v="63"/>
    <x v="1"/>
    <x v="15"/>
    <x v="0"/>
    <x v="0"/>
  </r>
  <r>
    <s v="LU1693257310"/>
    <x v="37"/>
    <n v="3"/>
    <x v="2"/>
    <x v="32"/>
    <x v="1"/>
    <x v="5"/>
    <s v="ESLDILA LX Equity"/>
    <x v="63"/>
    <x v="1"/>
    <x v="15"/>
    <x v="0"/>
    <x v="0"/>
  </r>
  <r>
    <s v="LU1693257310"/>
    <x v="38"/>
    <n v="4"/>
    <x v="2"/>
    <x v="33"/>
    <x v="1"/>
    <x v="5"/>
    <s v="ESLDILA LX Equity"/>
    <x v="63"/>
    <x v="1"/>
    <x v="15"/>
    <x v="0"/>
    <x v="0"/>
  </r>
  <r>
    <s v="LU1693257310"/>
    <x v="39"/>
    <n v="0"/>
    <x v="2"/>
    <x v="34"/>
    <x v="0"/>
    <x v="2"/>
    <s v="ESLDILA LX Equity"/>
    <x v="63"/>
    <x v="1"/>
    <x v="15"/>
    <x v="0"/>
    <x v="0"/>
  </r>
  <r>
    <s v="LU1693257310"/>
    <x v="40"/>
    <n v="0"/>
    <x v="2"/>
    <x v="35"/>
    <x v="0"/>
    <x v="2"/>
    <s v="ESLDILA LX Equity"/>
    <x v="63"/>
    <x v="1"/>
    <x v="15"/>
    <x v="0"/>
    <x v="0"/>
  </r>
  <r>
    <s v="LU1693257310"/>
    <x v="41"/>
    <n v="3"/>
    <x v="2"/>
    <x v="36"/>
    <x v="0"/>
    <x v="0"/>
    <s v="ESLDILA LX Equity"/>
    <x v="63"/>
    <x v="1"/>
    <x v="15"/>
    <x v="0"/>
    <x v="0"/>
  </r>
  <r>
    <s v="LU1693257310"/>
    <x v="42"/>
    <n v="3"/>
    <x v="2"/>
    <x v="37"/>
    <x v="0"/>
    <x v="0"/>
    <s v="ESLDILA LX Equity"/>
    <x v="63"/>
    <x v="1"/>
    <x v="15"/>
    <x v="0"/>
    <x v="0"/>
  </r>
  <r>
    <s v="LU1693257310"/>
    <x v="43"/>
    <n v="3"/>
    <x v="2"/>
    <x v="38"/>
    <x v="0"/>
    <x v="4"/>
    <s v="ESLDILA LX Equity"/>
    <x v="63"/>
    <x v="1"/>
    <x v="15"/>
    <x v="0"/>
    <x v="0"/>
  </r>
  <r>
    <s v="LU1693257310"/>
    <x v="44"/>
    <n v="3"/>
    <x v="2"/>
    <x v="39"/>
    <x v="0"/>
    <x v="4"/>
    <s v="ESLDILA LX Equity"/>
    <x v="63"/>
    <x v="1"/>
    <x v="15"/>
    <x v="0"/>
    <x v="0"/>
  </r>
  <r>
    <s v="LU1693257310"/>
    <x v="45"/>
    <n v="3"/>
    <x v="2"/>
    <x v="40"/>
    <x v="0"/>
    <x v="5"/>
    <s v="ESLDILA LX Equity"/>
    <x v="63"/>
    <x v="1"/>
    <x v="15"/>
    <x v="0"/>
    <x v="0"/>
  </r>
  <r>
    <s v="LU1693257310"/>
    <x v="46"/>
    <n v="4"/>
    <x v="2"/>
    <x v="41"/>
    <x v="0"/>
    <x v="5"/>
    <s v="ESLDILA LX Equity"/>
    <x v="63"/>
    <x v="1"/>
    <x v="15"/>
    <x v="0"/>
    <x v="0"/>
  </r>
  <r>
    <s v="LU1693257310"/>
    <x v="47"/>
    <n v="0"/>
    <x v="2"/>
    <x v="42"/>
    <x v="2"/>
    <x v="2"/>
    <s v="ESLDILA LX Equity"/>
    <x v="63"/>
    <x v="1"/>
    <x v="15"/>
    <x v="0"/>
    <x v="0"/>
  </r>
  <r>
    <s v="LU1693257310"/>
    <x v="48"/>
    <n v="0"/>
    <x v="2"/>
    <x v="43"/>
    <x v="2"/>
    <x v="2"/>
    <s v="ESLDILA LX Equity"/>
    <x v="63"/>
    <x v="1"/>
    <x v="15"/>
    <x v="0"/>
    <x v="0"/>
  </r>
  <r>
    <s v="LU1693257310"/>
    <x v="49"/>
    <n v="3"/>
    <x v="2"/>
    <x v="44"/>
    <x v="2"/>
    <x v="0"/>
    <s v="ESLDILA LX Equity"/>
    <x v="63"/>
    <x v="1"/>
    <x v="15"/>
    <x v="0"/>
    <x v="0"/>
  </r>
  <r>
    <s v="LU1693257310"/>
    <x v="50"/>
    <n v="3"/>
    <x v="2"/>
    <x v="45"/>
    <x v="2"/>
    <x v="0"/>
    <s v="ESLDILA LX Equity"/>
    <x v="63"/>
    <x v="1"/>
    <x v="15"/>
    <x v="0"/>
    <x v="0"/>
  </r>
  <r>
    <s v="LU1693257310"/>
    <x v="51"/>
    <n v="3"/>
    <x v="2"/>
    <x v="46"/>
    <x v="2"/>
    <x v="4"/>
    <s v="ESLDILA LX Equity"/>
    <x v="63"/>
    <x v="1"/>
    <x v="15"/>
    <x v="0"/>
    <x v="0"/>
  </r>
  <r>
    <s v="LU1693257310"/>
    <x v="52"/>
    <n v="3"/>
    <x v="2"/>
    <x v="47"/>
    <x v="2"/>
    <x v="4"/>
    <s v="ESLDILA LX Equity"/>
    <x v="63"/>
    <x v="1"/>
    <x v="15"/>
    <x v="0"/>
    <x v="0"/>
  </r>
  <r>
    <s v="LU1693257310"/>
    <x v="53"/>
    <n v="3"/>
    <x v="2"/>
    <x v="48"/>
    <x v="2"/>
    <x v="5"/>
    <s v="ESLDILA LX Equity"/>
    <x v="63"/>
    <x v="1"/>
    <x v="15"/>
    <x v="0"/>
    <x v="0"/>
  </r>
  <r>
    <s v="LU1693257310"/>
    <x v="54"/>
    <n v="4"/>
    <x v="2"/>
    <x v="49"/>
    <x v="2"/>
    <x v="5"/>
    <s v="ESLDILA LX Equity"/>
    <x v="63"/>
    <x v="1"/>
    <x v="15"/>
    <x v="0"/>
    <x v="0"/>
  </r>
  <r>
    <s v="LU1693257310"/>
    <x v="55"/>
    <n v="0"/>
    <x v="2"/>
    <x v="50"/>
    <x v="3"/>
    <x v="2"/>
    <s v="ESLDILA LX Equity"/>
    <x v="63"/>
    <x v="1"/>
    <x v="15"/>
    <x v="0"/>
    <x v="0"/>
  </r>
  <r>
    <s v="LU1693257310"/>
    <x v="56"/>
    <n v="0"/>
    <x v="2"/>
    <x v="51"/>
    <x v="3"/>
    <x v="2"/>
    <s v="ESLDILA LX Equity"/>
    <x v="63"/>
    <x v="1"/>
    <x v="15"/>
    <x v="0"/>
    <x v="0"/>
  </r>
  <r>
    <s v="LU1693257310"/>
    <x v="57"/>
    <n v="3"/>
    <x v="2"/>
    <x v="52"/>
    <x v="3"/>
    <x v="0"/>
    <s v="ESLDILA LX Equity"/>
    <x v="63"/>
    <x v="1"/>
    <x v="15"/>
    <x v="0"/>
    <x v="0"/>
  </r>
  <r>
    <s v="LU1693257310"/>
    <x v="58"/>
    <n v="3"/>
    <x v="2"/>
    <x v="53"/>
    <x v="3"/>
    <x v="0"/>
    <s v="ESLDILA LX Equity"/>
    <x v="63"/>
    <x v="1"/>
    <x v="15"/>
    <x v="0"/>
    <x v="0"/>
  </r>
  <r>
    <s v="LU1693257310"/>
    <x v="59"/>
    <n v="3"/>
    <x v="2"/>
    <x v="54"/>
    <x v="3"/>
    <x v="4"/>
    <s v="ESLDILA LX Equity"/>
    <x v="63"/>
    <x v="1"/>
    <x v="15"/>
    <x v="0"/>
    <x v="0"/>
  </r>
  <r>
    <s v="LU1693257310"/>
    <x v="60"/>
    <n v="3"/>
    <x v="2"/>
    <x v="55"/>
    <x v="3"/>
    <x v="4"/>
    <s v="ESLDILA LX Equity"/>
    <x v="63"/>
    <x v="1"/>
    <x v="15"/>
    <x v="0"/>
    <x v="0"/>
  </r>
  <r>
    <s v="LU1693257310"/>
    <x v="61"/>
    <n v="3"/>
    <x v="2"/>
    <x v="56"/>
    <x v="3"/>
    <x v="5"/>
    <s v="ESLDILA LX Equity"/>
    <x v="63"/>
    <x v="1"/>
    <x v="15"/>
    <x v="0"/>
    <x v="0"/>
  </r>
  <r>
    <s v="LU1693257310"/>
    <x v="62"/>
    <n v="4"/>
    <x v="2"/>
    <x v="57"/>
    <x v="3"/>
    <x v="5"/>
    <s v="ESLDILA LX Equity"/>
    <x v="63"/>
    <x v="1"/>
    <x v="15"/>
    <x v="0"/>
    <x v="0"/>
  </r>
  <r>
    <s v=""/>
    <x v="31"/>
    <n v="-88"/>
    <x v="2"/>
    <x v="26"/>
    <x v="1"/>
    <x v="2"/>
    <s v="EUR/CHF 12/18/2019 Curncy"/>
    <x v="95"/>
    <x v="6"/>
    <x v="7"/>
    <x v="0"/>
    <x v="0"/>
  </r>
  <r>
    <s v=""/>
    <x v="32"/>
    <n v="-75"/>
    <x v="2"/>
    <x v="27"/>
    <x v="1"/>
    <x v="2"/>
    <s v="EUR/CHF 12/18/2019 Curncy"/>
    <x v="95"/>
    <x v="6"/>
    <x v="7"/>
    <x v="0"/>
    <x v="0"/>
  </r>
  <r>
    <s v=""/>
    <x v="33"/>
    <n v="-88"/>
    <x v="2"/>
    <x v="28"/>
    <x v="1"/>
    <x v="0"/>
    <s v="EUR/CHF 12/18/2019 Curncy"/>
    <x v="95"/>
    <x v="6"/>
    <x v="7"/>
    <x v="0"/>
    <x v="0"/>
  </r>
  <r>
    <s v=""/>
    <x v="34"/>
    <n v="-75"/>
    <x v="2"/>
    <x v="29"/>
    <x v="1"/>
    <x v="0"/>
    <s v="EUR/CHF 12/18/2019 Curncy"/>
    <x v="95"/>
    <x v="6"/>
    <x v="7"/>
    <x v="0"/>
    <x v="0"/>
  </r>
  <r>
    <s v=""/>
    <x v="35"/>
    <n v="-85"/>
    <x v="2"/>
    <x v="30"/>
    <x v="1"/>
    <x v="4"/>
    <s v="EUR/CHF 12/18/2019 Curncy"/>
    <x v="95"/>
    <x v="6"/>
    <x v="7"/>
    <x v="0"/>
    <x v="0"/>
  </r>
  <r>
    <s v=""/>
    <x v="36"/>
    <n v="-74"/>
    <x v="2"/>
    <x v="31"/>
    <x v="1"/>
    <x v="4"/>
    <s v="EUR/CHF 12/18/2019 Curncy"/>
    <x v="95"/>
    <x v="6"/>
    <x v="7"/>
    <x v="0"/>
    <x v="0"/>
  </r>
  <r>
    <s v=""/>
    <x v="37"/>
    <n v="-81"/>
    <x v="2"/>
    <x v="32"/>
    <x v="1"/>
    <x v="5"/>
    <s v="EUR/CHF 12/18/2019 Curncy"/>
    <x v="95"/>
    <x v="6"/>
    <x v="7"/>
    <x v="0"/>
    <x v="0"/>
  </r>
  <r>
    <s v=""/>
    <x v="38"/>
    <n v="-72"/>
    <x v="2"/>
    <x v="33"/>
    <x v="1"/>
    <x v="5"/>
    <s v="EUR/CHF 12/18/2019 Curncy"/>
    <x v="95"/>
    <x v="6"/>
    <x v="7"/>
    <x v="0"/>
    <x v="0"/>
  </r>
  <r>
    <s v=""/>
    <x v="47"/>
    <n v="-83"/>
    <x v="2"/>
    <x v="42"/>
    <x v="2"/>
    <x v="2"/>
    <s v="EUR/GBP 12/18/2019 Curncy"/>
    <x v="95"/>
    <x v="6"/>
    <x v="7"/>
    <x v="0"/>
    <x v="0"/>
  </r>
  <r>
    <s v=""/>
    <x v="48"/>
    <n v="-75"/>
    <x v="2"/>
    <x v="43"/>
    <x v="2"/>
    <x v="2"/>
    <s v="EUR/GBP 12/18/2019 Curncy"/>
    <x v="95"/>
    <x v="6"/>
    <x v="7"/>
    <x v="0"/>
    <x v="0"/>
  </r>
  <r>
    <s v=""/>
    <x v="49"/>
    <n v="-83"/>
    <x v="2"/>
    <x v="44"/>
    <x v="2"/>
    <x v="0"/>
    <s v="EUR/GBP 12/18/2019 Curncy"/>
    <x v="95"/>
    <x v="6"/>
    <x v="7"/>
    <x v="0"/>
    <x v="0"/>
  </r>
  <r>
    <s v=""/>
    <x v="50"/>
    <n v="-75"/>
    <x v="2"/>
    <x v="45"/>
    <x v="2"/>
    <x v="0"/>
    <s v="EUR/GBP 12/18/2019 Curncy"/>
    <x v="95"/>
    <x v="6"/>
    <x v="7"/>
    <x v="0"/>
    <x v="0"/>
  </r>
  <r>
    <s v=""/>
    <x v="51"/>
    <n v="-80"/>
    <x v="2"/>
    <x v="46"/>
    <x v="2"/>
    <x v="4"/>
    <s v="EUR/GBP 12/18/2019 Curncy"/>
    <x v="95"/>
    <x v="6"/>
    <x v="7"/>
    <x v="0"/>
    <x v="0"/>
  </r>
  <r>
    <s v=""/>
    <x v="52"/>
    <n v="-71"/>
    <x v="2"/>
    <x v="47"/>
    <x v="2"/>
    <x v="4"/>
    <s v="EUR/GBP 12/18/2019 Curncy"/>
    <x v="95"/>
    <x v="6"/>
    <x v="7"/>
    <x v="0"/>
    <x v="0"/>
  </r>
  <r>
    <s v=""/>
    <x v="53"/>
    <n v="-77"/>
    <x v="2"/>
    <x v="48"/>
    <x v="2"/>
    <x v="5"/>
    <s v="EUR/GBP 12/18/2019 Curncy"/>
    <x v="95"/>
    <x v="6"/>
    <x v="7"/>
    <x v="0"/>
    <x v="0"/>
  </r>
  <r>
    <s v=""/>
    <x v="54"/>
    <n v="-68"/>
    <x v="2"/>
    <x v="49"/>
    <x v="2"/>
    <x v="5"/>
    <s v="EUR/GBP 12/18/2019 Curncy"/>
    <x v="95"/>
    <x v="6"/>
    <x v="7"/>
    <x v="0"/>
    <x v="0"/>
  </r>
  <r>
    <s v=""/>
    <x v="55"/>
    <n v="-80"/>
    <x v="2"/>
    <x v="50"/>
    <x v="3"/>
    <x v="2"/>
    <s v="EUR/USD 12/18/2019 Curncy"/>
    <x v="95"/>
    <x v="6"/>
    <x v="7"/>
    <x v="0"/>
    <x v="0"/>
  </r>
  <r>
    <s v=""/>
    <x v="56"/>
    <n v="-63"/>
    <x v="2"/>
    <x v="51"/>
    <x v="3"/>
    <x v="2"/>
    <s v="EUR/USD 12/18/2019 Curncy"/>
    <x v="95"/>
    <x v="6"/>
    <x v="7"/>
    <x v="0"/>
    <x v="0"/>
  </r>
  <r>
    <s v=""/>
    <x v="57"/>
    <n v="-80"/>
    <x v="2"/>
    <x v="52"/>
    <x v="3"/>
    <x v="0"/>
    <s v="EUR/USD 12/18/2019 Curncy"/>
    <x v="95"/>
    <x v="6"/>
    <x v="7"/>
    <x v="0"/>
    <x v="0"/>
  </r>
  <r>
    <s v=""/>
    <x v="58"/>
    <n v="-63"/>
    <x v="2"/>
    <x v="53"/>
    <x v="3"/>
    <x v="0"/>
    <s v="EUR/USD 12/18/2019 Curncy"/>
    <x v="95"/>
    <x v="6"/>
    <x v="7"/>
    <x v="0"/>
    <x v="0"/>
  </r>
  <r>
    <s v=""/>
    <x v="59"/>
    <n v="-77"/>
    <x v="2"/>
    <x v="54"/>
    <x v="3"/>
    <x v="4"/>
    <s v="EUR/USD 12/18/2019 Curncy"/>
    <x v="95"/>
    <x v="6"/>
    <x v="7"/>
    <x v="0"/>
    <x v="0"/>
  </r>
  <r>
    <s v=""/>
    <x v="60"/>
    <n v="-60"/>
    <x v="2"/>
    <x v="55"/>
    <x v="3"/>
    <x v="4"/>
    <s v="EUR/USD 12/18/2019 Curncy"/>
    <x v="95"/>
    <x v="6"/>
    <x v="7"/>
    <x v="0"/>
    <x v="0"/>
  </r>
  <r>
    <s v=""/>
    <x v="61"/>
    <n v="-74"/>
    <x v="2"/>
    <x v="56"/>
    <x v="3"/>
    <x v="5"/>
    <s v="EUR/USD 12/18/2019 Curncy"/>
    <x v="95"/>
    <x v="6"/>
    <x v="7"/>
    <x v="0"/>
    <x v="0"/>
  </r>
  <r>
    <s v=""/>
    <x v="62"/>
    <n v="-59"/>
    <x v="2"/>
    <x v="57"/>
    <x v="3"/>
    <x v="5"/>
    <s v="EUR/USD 12/18/2019 Curncy"/>
    <x v="95"/>
    <x v="6"/>
    <x v="7"/>
    <x v="0"/>
    <x v="0"/>
  </r>
  <r>
    <s v="CH0469130410"/>
    <x v="31"/>
    <n v="3"/>
    <x v="2"/>
    <x v="26"/>
    <x v="1"/>
    <x v="2"/>
    <s v="EXANE 0 07/04/2022 Corp"/>
    <x v="22"/>
    <x v="3"/>
    <x v="6"/>
    <x v="0"/>
    <x v="5"/>
  </r>
  <r>
    <s v="CH0469130410"/>
    <x v="32"/>
    <n v="3"/>
    <x v="2"/>
    <x v="27"/>
    <x v="1"/>
    <x v="2"/>
    <s v="EXANE 0 07/04/2022 Corp"/>
    <x v="22"/>
    <x v="3"/>
    <x v="6"/>
    <x v="0"/>
    <x v="5"/>
  </r>
  <r>
    <s v="CH0469130410"/>
    <x v="33"/>
    <n v="3"/>
    <x v="2"/>
    <x v="28"/>
    <x v="1"/>
    <x v="0"/>
    <s v="EXANE 0 07/04/2022 Corp"/>
    <x v="22"/>
    <x v="3"/>
    <x v="6"/>
    <x v="0"/>
    <x v="5"/>
  </r>
  <r>
    <s v="CH0469130410"/>
    <x v="34"/>
    <n v="3"/>
    <x v="2"/>
    <x v="29"/>
    <x v="1"/>
    <x v="0"/>
    <s v="EXANE 0 07/04/2022 Corp"/>
    <x v="22"/>
    <x v="3"/>
    <x v="6"/>
    <x v="0"/>
    <x v="5"/>
  </r>
  <r>
    <s v="CH0469130410"/>
    <x v="35"/>
    <n v="3"/>
    <x v="2"/>
    <x v="30"/>
    <x v="1"/>
    <x v="4"/>
    <s v="EXANE 0 07/04/2022 Corp"/>
    <x v="22"/>
    <x v="3"/>
    <x v="6"/>
    <x v="0"/>
    <x v="5"/>
  </r>
  <r>
    <s v="CH0469130410"/>
    <x v="36"/>
    <n v="3"/>
    <x v="2"/>
    <x v="31"/>
    <x v="1"/>
    <x v="4"/>
    <s v="EXANE 0 07/04/2022 Corp"/>
    <x v="22"/>
    <x v="3"/>
    <x v="6"/>
    <x v="0"/>
    <x v="5"/>
  </r>
  <r>
    <s v="CH0469130410"/>
    <x v="37"/>
    <n v="0"/>
    <x v="2"/>
    <x v="32"/>
    <x v="1"/>
    <x v="5"/>
    <s v="EXANE 0 07/04/2022 Corp"/>
    <x v="22"/>
    <x v="3"/>
    <x v="6"/>
    <x v="0"/>
    <x v="5"/>
  </r>
  <r>
    <s v="CH0469130410"/>
    <x v="38"/>
    <n v="0"/>
    <x v="2"/>
    <x v="33"/>
    <x v="1"/>
    <x v="5"/>
    <s v="EXANE 0 07/04/2022 Corp"/>
    <x v="22"/>
    <x v="3"/>
    <x v="6"/>
    <x v="0"/>
    <x v="5"/>
  </r>
  <r>
    <s v="CH0469130410"/>
    <x v="39"/>
    <n v="3"/>
    <x v="2"/>
    <x v="34"/>
    <x v="0"/>
    <x v="2"/>
    <s v="EXANE 0 07/04/2022 Corp"/>
    <x v="22"/>
    <x v="3"/>
    <x v="6"/>
    <x v="0"/>
    <x v="5"/>
  </r>
  <r>
    <s v="CH0469130410"/>
    <x v="40"/>
    <n v="3"/>
    <x v="2"/>
    <x v="35"/>
    <x v="0"/>
    <x v="2"/>
    <s v="EXANE 0 07/04/2022 Corp"/>
    <x v="22"/>
    <x v="3"/>
    <x v="6"/>
    <x v="0"/>
    <x v="5"/>
  </r>
  <r>
    <s v="CH0469130410"/>
    <x v="41"/>
    <n v="3"/>
    <x v="2"/>
    <x v="36"/>
    <x v="0"/>
    <x v="0"/>
    <s v="EXANE 0 07/04/2022 Corp"/>
    <x v="22"/>
    <x v="3"/>
    <x v="6"/>
    <x v="0"/>
    <x v="5"/>
  </r>
  <r>
    <s v="CH0469130410"/>
    <x v="42"/>
    <n v="3"/>
    <x v="2"/>
    <x v="37"/>
    <x v="0"/>
    <x v="0"/>
    <s v="EXANE 0 07/04/2022 Corp"/>
    <x v="22"/>
    <x v="3"/>
    <x v="6"/>
    <x v="0"/>
    <x v="5"/>
  </r>
  <r>
    <s v="CH0469130410"/>
    <x v="43"/>
    <n v="3"/>
    <x v="2"/>
    <x v="38"/>
    <x v="0"/>
    <x v="4"/>
    <s v="EXANE 0 07/04/2022 Corp"/>
    <x v="22"/>
    <x v="3"/>
    <x v="6"/>
    <x v="0"/>
    <x v="5"/>
  </r>
  <r>
    <s v="CH0469130410"/>
    <x v="44"/>
    <n v="3"/>
    <x v="2"/>
    <x v="39"/>
    <x v="0"/>
    <x v="4"/>
    <s v="EXANE 0 07/04/2022 Corp"/>
    <x v="22"/>
    <x v="3"/>
    <x v="6"/>
    <x v="0"/>
    <x v="5"/>
  </r>
  <r>
    <s v="CH0469130410"/>
    <x v="45"/>
    <n v="0"/>
    <x v="2"/>
    <x v="40"/>
    <x v="0"/>
    <x v="5"/>
    <s v="EXANE 0 07/04/2022 Corp"/>
    <x v="22"/>
    <x v="3"/>
    <x v="6"/>
    <x v="0"/>
    <x v="5"/>
  </r>
  <r>
    <s v="CH0469130410"/>
    <x v="46"/>
    <n v="0"/>
    <x v="2"/>
    <x v="41"/>
    <x v="0"/>
    <x v="5"/>
    <s v="EXANE 0 07/04/2022 Corp"/>
    <x v="22"/>
    <x v="3"/>
    <x v="6"/>
    <x v="0"/>
    <x v="5"/>
  </r>
  <r>
    <s v="CH0469130410"/>
    <x v="47"/>
    <n v="3"/>
    <x v="2"/>
    <x v="42"/>
    <x v="2"/>
    <x v="2"/>
    <s v="EXANE 0 07/04/2022 Corp"/>
    <x v="22"/>
    <x v="3"/>
    <x v="6"/>
    <x v="0"/>
    <x v="5"/>
  </r>
  <r>
    <s v="CH0469130410"/>
    <x v="48"/>
    <n v="3"/>
    <x v="2"/>
    <x v="43"/>
    <x v="2"/>
    <x v="2"/>
    <s v="EXANE 0 07/04/2022 Corp"/>
    <x v="22"/>
    <x v="3"/>
    <x v="6"/>
    <x v="0"/>
    <x v="5"/>
  </r>
  <r>
    <s v="CH0469130410"/>
    <x v="49"/>
    <n v="3"/>
    <x v="2"/>
    <x v="44"/>
    <x v="2"/>
    <x v="0"/>
    <s v="EXANE 0 07/04/2022 Corp"/>
    <x v="22"/>
    <x v="3"/>
    <x v="6"/>
    <x v="0"/>
    <x v="5"/>
  </r>
  <r>
    <s v="CH0469130410"/>
    <x v="50"/>
    <n v="3"/>
    <x v="2"/>
    <x v="45"/>
    <x v="2"/>
    <x v="0"/>
    <s v="EXANE 0 07/04/2022 Corp"/>
    <x v="22"/>
    <x v="3"/>
    <x v="6"/>
    <x v="0"/>
    <x v="5"/>
  </r>
  <r>
    <s v="CH0469130410"/>
    <x v="51"/>
    <n v="3"/>
    <x v="2"/>
    <x v="46"/>
    <x v="2"/>
    <x v="4"/>
    <s v="EXANE 0 07/04/2022 Corp"/>
    <x v="22"/>
    <x v="3"/>
    <x v="6"/>
    <x v="0"/>
    <x v="5"/>
  </r>
  <r>
    <s v="CH0469130410"/>
    <x v="52"/>
    <n v="3"/>
    <x v="2"/>
    <x v="47"/>
    <x v="2"/>
    <x v="4"/>
    <s v="EXANE 0 07/04/2022 Corp"/>
    <x v="22"/>
    <x v="3"/>
    <x v="6"/>
    <x v="0"/>
    <x v="5"/>
  </r>
  <r>
    <s v="CH0469130410"/>
    <x v="53"/>
    <n v="0"/>
    <x v="2"/>
    <x v="48"/>
    <x v="2"/>
    <x v="5"/>
    <s v="EXANE 0 07/04/2022 Corp"/>
    <x v="22"/>
    <x v="3"/>
    <x v="6"/>
    <x v="0"/>
    <x v="5"/>
  </r>
  <r>
    <s v="CH0469130410"/>
    <x v="54"/>
    <n v="0"/>
    <x v="2"/>
    <x v="49"/>
    <x v="2"/>
    <x v="5"/>
    <s v="EXANE 0 07/04/2022 Corp"/>
    <x v="22"/>
    <x v="3"/>
    <x v="6"/>
    <x v="0"/>
    <x v="5"/>
  </r>
  <r>
    <s v="CH0469130410"/>
    <x v="55"/>
    <n v="3"/>
    <x v="2"/>
    <x v="50"/>
    <x v="3"/>
    <x v="2"/>
    <s v="EXANE 0 07/04/2022 Corp"/>
    <x v="22"/>
    <x v="3"/>
    <x v="6"/>
    <x v="0"/>
    <x v="5"/>
  </r>
  <r>
    <s v="CH0469130410"/>
    <x v="56"/>
    <n v="3"/>
    <x v="2"/>
    <x v="51"/>
    <x v="3"/>
    <x v="2"/>
    <s v="EXANE 0 07/04/2022 Corp"/>
    <x v="22"/>
    <x v="3"/>
    <x v="6"/>
    <x v="0"/>
    <x v="5"/>
  </r>
  <r>
    <s v="CH0469130410"/>
    <x v="57"/>
    <n v="3"/>
    <x v="2"/>
    <x v="52"/>
    <x v="3"/>
    <x v="0"/>
    <s v="EXANE 0 07/04/2022 Corp"/>
    <x v="22"/>
    <x v="3"/>
    <x v="6"/>
    <x v="0"/>
    <x v="5"/>
  </r>
  <r>
    <s v="CH0469130410"/>
    <x v="58"/>
    <n v="3"/>
    <x v="2"/>
    <x v="53"/>
    <x v="3"/>
    <x v="0"/>
    <s v="EXANE 0 07/04/2022 Corp"/>
    <x v="22"/>
    <x v="3"/>
    <x v="6"/>
    <x v="0"/>
    <x v="5"/>
  </r>
  <r>
    <s v="CH0469130410"/>
    <x v="59"/>
    <n v="3"/>
    <x v="2"/>
    <x v="54"/>
    <x v="3"/>
    <x v="4"/>
    <s v="EXANE 0 07/04/2022 Corp"/>
    <x v="22"/>
    <x v="3"/>
    <x v="6"/>
    <x v="0"/>
    <x v="5"/>
  </r>
  <r>
    <s v="CH0469130410"/>
    <x v="60"/>
    <n v="3"/>
    <x v="2"/>
    <x v="55"/>
    <x v="3"/>
    <x v="4"/>
    <s v="EXANE 0 07/04/2022 Corp"/>
    <x v="22"/>
    <x v="3"/>
    <x v="6"/>
    <x v="0"/>
    <x v="5"/>
  </r>
  <r>
    <s v="CH0469130410"/>
    <x v="61"/>
    <n v="0"/>
    <x v="2"/>
    <x v="56"/>
    <x v="3"/>
    <x v="5"/>
    <s v="EXANE 0 07/04/2022 Corp"/>
    <x v="22"/>
    <x v="3"/>
    <x v="6"/>
    <x v="0"/>
    <x v="5"/>
  </r>
  <r>
    <s v="CH0469130410"/>
    <x v="62"/>
    <n v="0"/>
    <x v="2"/>
    <x v="57"/>
    <x v="3"/>
    <x v="5"/>
    <s v="EXANE 0 07/04/2022 Corp"/>
    <x v="22"/>
    <x v="3"/>
    <x v="6"/>
    <x v="0"/>
    <x v="5"/>
  </r>
  <r>
    <s v="CH0413289155"/>
    <x v="31"/>
    <n v="3"/>
    <x v="2"/>
    <x v="26"/>
    <x v="1"/>
    <x v="2"/>
    <s v="EXANE 0 10/22/2021 Corp"/>
    <x v="20"/>
    <x v="1"/>
    <x v="5"/>
    <x v="0"/>
    <x v="4"/>
  </r>
  <r>
    <s v="CH0413289155"/>
    <x v="32"/>
    <n v="3"/>
    <x v="2"/>
    <x v="27"/>
    <x v="1"/>
    <x v="2"/>
    <s v="EXANE 0 10/22/2021 Corp"/>
    <x v="20"/>
    <x v="1"/>
    <x v="5"/>
    <x v="0"/>
    <x v="4"/>
  </r>
  <r>
    <s v="CH0413289155"/>
    <x v="33"/>
    <n v="3"/>
    <x v="2"/>
    <x v="28"/>
    <x v="1"/>
    <x v="0"/>
    <s v="EXANE 0 10/22/2021 Corp"/>
    <x v="20"/>
    <x v="1"/>
    <x v="5"/>
    <x v="0"/>
    <x v="4"/>
  </r>
  <r>
    <s v="CH0413289155"/>
    <x v="34"/>
    <n v="3"/>
    <x v="2"/>
    <x v="29"/>
    <x v="1"/>
    <x v="0"/>
    <s v="EXANE 0 10/22/2021 Corp"/>
    <x v="20"/>
    <x v="1"/>
    <x v="5"/>
    <x v="0"/>
    <x v="4"/>
  </r>
  <r>
    <s v="CH0413289155"/>
    <x v="35"/>
    <n v="3"/>
    <x v="2"/>
    <x v="30"/>
    <x v="1"/>
    <x v="4"/>
    <s v="EXANE 0 10/22/2021 Corp"/>
    <x v="20"/>
    <x v="1"/>
    <x v="5"/>
    <x v="0"/>
    <x v="4"/>
  </r>
  <r>
    <s v="CH0413289155"/>
    <x v="36"/>
    <n v="3"/>
    <x v="2"/>
    <x v="31"/>
    <x v="1"/>
    <x v="4"/>
    <s v="EXANE 0 10/22/2021 Corp"/>
    <x v="20"/>
    <x v="1"/>
    <x v="5"/>
    <x v="0"/>
    <x v="4"/>
  </r>
  <r>
    <s v="CH0413289155"/>
    <x v="37"/>
    <n v="0"/>
    <x v="2"/>
    <x v="32"/>
    <x v="1"/>
    <x v="5"/>
    <s v="EXANE 0 10/22/2021 Corp"/>
    <x v="20"/>
    <x v="1"/>
    <x v="5"/>
    <x v="0"/>
    <x v="4"/>
  </r>
  <r>
    <s v="CH0413289155"/>
    <x v="38"/>
    <n v="0"/>
    <x v="2"/>
    <x v="33"/>
    <x v="1"/>
    <x v="5"/>
    <s v="EXANE 0 10/22/2021 Corp"/>
    <x v="20"/>
    <x v="1"/>
    <x v="5"/>
    <x v="0"/>
    <x v="4"/>
  </r>
  <r>
    <s v="CH0413289155"/>
    <x v="39"/>
    <n v="3"/>
    <x v="2"/>
    <x v="34"/>
    <x v="0"/>
    <x v="2"/>
    <s v="EXANE 0 10/22/2021 Corp"/>
    <x v="20"/>
    <x v="1"/>
    <x v="5"/>
    <x v="0"/>
    <x v="4"/>
  </r>
  <r>
    <s v="CH0413289155"/>
    <x v="40"/>
    <n v="3"/>
    <x v="2"/>
    <x v="35"/>
    <x v="0"/>
    <x v="2"/>
    <s v="EXANE 0 10/22/2021 Corp"/>
    <x v="20"/>
    <x v="1"/>
    <x v="5"/>
    <x v="0"/>
    <x v="4"/>
  </r>
  <r>
    <s v="CH0413289155"/>
    <x v="41"/>
    <n v="3"/>
    <x v="2"/>
    <x v="36"/>
    <x v="0"/>
    <x v="0"/>
    <s v="EXANE 0 10/22/2021 Corp"/>
    <x v="20"/>
    <x v="1"/>
    <x v="5"/>
    <x v="0"/>
    <x v="4"/>
  </r>
  <r>
    <s v="CH0413289155"/>
    <x v="42"/>
    <n v="3"/>
    <x v="2"/>
    <x v="37"/>
    <x v="0"/>
    <x v="0"/>
    <s v="EXANE 0 10/22/2021 Corp"/>
    <x v="20"/>
    <x v="1"/>
    <x v="5"/>
    <x v="0"/>
    <x v="4"/>
  </r>
  <r>
    <s v="CH0413289155"/>
    <x v="43"/>
    <n v="3"/>
    <x v="2"/>
    <x v="38"/>
    <x v="0"/>
    <x v="4"/>
    <s v="EXANE 0 10/22/2021 Corp"/>
    <x v="20"/>
    <x v="1"/>
    <x v="5"/>
    <x v="0"/>
    <x v="4"/>
  </r>
  <r>
    <s v="CH0413289155"/>
    <x v="44"/>
    <n v="3"/>
    <x v="2"/>
    <x v="39"/>
    <x v="0"/>
    <x v="4"/>
    <s v="EXANE 0 10/22/2021 Corp"/>
    <x v="20"/>
    <x v="1"/>
    <x v="5"/>
    <x v="0"/>
    <x v="4"/>
  </r>
  <r>
    <s v="CH0413289155"/>
    <x v="45"/>
    <n v="0"/>
    <x v="2"/>
    <x v="40"/>
    <x v="0"/>
    <x v="5"/>
    <s v="EXANE 0 10/22/2021 Corp"/>
    <x v="20"/>
    <x v="1"/>
    <x v="5"/>
    <x v="0"/>
    <x v="4"/>
  </r>
  <r>
    <s v="CH0413289155"/>
    <x v="46"/>
    <n v="0"/>
    <x v="2"/>
    <x v="41"/>
    <x v="0"/>
    <x v="5"/>
    <s v="EXANE 0 10/22/2021 Corp"/>
    <x v="20"/>
    <x v="1"/>
    <x v="5"/>
    <x v="0"/>
    <x v="4"/>
  </r>
  <r>
    <s v="CH0413289155"/>
    <x v="47"/>
    <n v="3"/>
    <x v="2"/>
    <x v="42"/>
    <x v="2"/>
    <x v="2"/>
    <s v="EXANE 0 10/22/2021 Corp"/>
    <x v="20"/>
    <x v="1"/>
    <x v="5"/>
    <x v="0"/>
    <x v="4"/>
  </r>
  <r>
    <s v="CH0413289155"/>
    <x v="48"/>
    <n v="3"/>
    <x v="2"/>
    <x v="43"/>
    <x v="2"/>
    <x v="2"/>
    <s v="EXANE 0 10/22/2021 Corp"/>
    <x v="20"/>
    <x v="1"/>
    <x v="5"/>
    <x v="0"/>
    <x v="4"/>
  </r>
  <r>
    <s v="CH0413289155"/>
    <x v="49"/>
    <n v="3"/>
    <x v="2"/>
    <x v="44"/>
    <x v="2"/>
    <x v="0"/>
    <s v="EXANE 0 10/22/2021 Corp"/>
    <x v="20"/>
    <x v="1"/>
    <x v="5"/>
    <x v="0"/>
    <x v="4"/>
  </r>
  <r>
    <s v="CH0413289155"/>
    <x v="50"/>
    <n v="3"/>
    <x v="2"/>
    <x v="45"/>
    <x v="2"/>
    <x v="0"/>
    <s v="EXANE 0 10/22/2021 Corp"/>
    <x v="20"/>
    <x v="1"/>
    <x v="5"/>
    <x v="0"/>
    <x v="4"/>
  </r>
  <r>
    <s v="CH0413289155"/>
    <x v="51"/>
    <n v="3"/>
    <x v="2"/>
    <x v="46"/>
    <x v="2"/>
    <x v="4"/>
    <s v="EXANE 0 10/22/2021 Corp"/>
    <x v="20"/>
    <x v="1"/>
    <x v="5"/>
    <x v="0"/>
    <x v="4"/>
  </r>
  <r>
    <s v="CH0413289155"/>
    <x v="52"/>
    <n v="3"/>
    <x v="2"/>
    <x v="47"/>
    <x v="2"/>
    <x v="4"/>
    <s v="EXANE 0 10/22/2021 Corp"/>
    <x v="20"/>
    <x v="1"/>
    <x v="5"/>
    <x v="0"/>
    <x v="4"/>
  </r>
  <r>
    <s v="CH0413289155"/>
    <x v="53"/>
    <n v="0"/>
    <x v="2"/>
    <x v="48"/>
    <x v="2"/>
    <x v="5"/>
    <s v="EXANE 0 10/22/2021 Corp"/>
    <x v="20"/>
    <x v="1"/>
    <x v="5"/>
    <x v="0"/>
    <x v="4"/>
  </r>
  <r>
    <s v="CH0413289155"/>
    <x v="54"/>
    <n v="0"/>
    <x v="2"/>
    <x v="49"/>
    <x v="2"/>
    <x v="5"/>
    <s v="EXANE 0 10/22/2021 Corp"/>
    <x v="20"/>
    <x v="1"/>
    <x v="5"/>
    <x v="0"/>
    <x v="4"/>
  </r>
  <r>
    <s v="CH0413289155"/>
    <x v="55"/>
    <n v="3"/>
    <x v="2"/>
    <x v="50"/>
    <x v="3"/>
    <x v="2"/>
    <s v="EXANE 0 10/22/2021 Corp"/>
    <x v="20"/>
    <x v="1"/>
    <x v="5"/>
    <x v="0"/>
    <x v="4"/>
  </r>
  <r>
    <s v="CH0413289155"/>
    <x v="56"/>
    <n v="3"/>
    <x v="2"/>
    <x v="51"/>
    <x v="3"/>
    <x v="2"/>
    <s v="EXANE 0 10/22/2021 Corp"/>
    <x v="20"/>
    <x v="1"/>
    <x v="5"/>
    <x v="0"/>
    <x v="4"/>
  </r>
  <r>
    <s v="CH0413289155"/>
    <x v="57"/>
    <n v="3"/>
    <x v="2"/>
    <x v="52"/>
    <x v="3"/>
    <x v="0"/>
    <s v="EXANE 0 10/22/2021 Corp"/>
    <x v="20"/>
    <x v="1"/>
    <x v="5"/>
    <x v="0"/>
    <x v="4"/>
  </r>
  <r>
    <s v="CH0413289155"/>
    <x v="58"/>
    <n v="3"/>
    <x v="2"/>
    <x v="53"/>
    <x v="3"/>
    <x v="0"/>
    <s v="EXANE 0 10/22/2021 Corp"/>
    <x v="20"/>
    <x v="1"/>
    <x v="5"/>
    <x v="0"/>
    <x v="4"/>
  </r>
  <r>
    <s v="CH0413289155"/>
    <x v="59"/>
    <n v="3"/>
    <x v="2"/>
    <x v="54"/>
    <x v="3"/>
    <x v="4"/>
    <s v="EXANE 0 10/22/2021 Corp"/>
    <x v="20"/>
    <x v="1"/>
    <x v="5"/>
    <x v="0"/>
    <x v="4"/>
  </r>
  <r>
    <s v="CH0413289155"/>
    <x v="60"/>
    <n v="3"/>
    <x v="2"/>
    <x v="55"/>
    <x v="3"/>
    <x v="4"/>
    <s v="EXANE 0 10/22/2021 Corp"/>
    <x v="20"/>
    <x v="1"/>
    <x v="5"/>
    <x v="0"/>
    <x v="4"/>
  </r>
  <r>
    <s v="CH0413289155"/>
    <x v="61"/>
    <n v="0"/>
    <x v="2"/>
    <x v="56"/>
    <x v="3"/>
    <x v="5"/>
    <s v="EXANE 0 10/22/2021 Corp"/>
    <x v="20"/>
    <x v="1"/>
    <x v="5"/>
    <x v="0"/>
    <x v="4"/>
  </r>
  <r>
    <s v="CH0413289155"/>
    <x v="62"/>
    <n v="0"/>
    <x v="2"/>
    <x v="57"/>
    <x v="3"/>
    <x v="5"/>
    <s v="EXANE 0 10/22/2021 Corp"/>
    <x v="20"/>
    <x v="1"/>
    <x v="5"/>
    <x v="0"/>
    <x v="4"/>
  </r>
  <r>
    <s v="IE00B42Z5J44"/>
    <x v="31"/>
    <n v="5"/>
    <x v="2"/>
    <x v="26"/>
    <x v="1"/>
    <x v="2"/>
    <s v="IJPE LN Equity"/>
    <x v="43"/>
    <x v="0"/>
    <x v="10"/>
    <x v="0"/>
    <x v="0"/>
  </r>
  <r>
    <s v="IE00B42Z5J44"/>
    <x v="32"/>
    <n v="4"/>
    <x v="2"/>
    <x v="27"/>
    <x v="1"/>
    <x v="2"/>
    <s v="IJPE LN Equity"/>
    <x v="43"/>
    <x v="0"/>
    <x v="10"/>
    <x v="0"/>
    <x v="0"/>
  </r>
  <r>
    <s v="IE00B42Z5J44"/>
    <x v="33"/>
    <n v="4"/>
    <x v="2"/>
    <x v="28"/>
    <x v="1"/>
    <x v="0"/>
    <s v="IJPE LN Equity"/>
    <x v="43"/>
    <x v="0"/>
    <x v="10"/>
    <x v="0"/>
    <x v="0"/>
  </r>
  <r>
    <s v="IE00B42Z5J44"/>
    <x v="34"/>
    <n v="3"/>
    <x v="2"/>
    <x v="29"/>
    <x v="1"/>
    <x v="0"/>
    <s v="IJPE LN Equity"/>
    <x v="43"/>
    <x v="0"/>
    <x v="10"/>
    <x v="0"/>
    <x v="0"/>
  </r>
  <r>
    <s v="IE00B42Z5J44"/>
    <x v="35"/>
    <n v="2"/>
    <x v="2"/>
    <x v="30"/>
    <x v="1"/>
    <x v="4"/>
    <s v="IJPE LN Equity"/>
    <x v="43"/>
    <x v="0"/>
    <x v="10"/>
    <x v="0"/>
    <x v="0"/>
  </r>
  <r>
    <s v="IE00B42Z5J44"/>
    <x v="36"/>
    <n v="0"/>
    <x v="2"/>
    <x v="31"/>
    <x v="1"/>
    <x v="4"/>
    <s v="IJPE LN Equity"/>
    <x v="43"/>
    <x v="0"/>
    <x v="10"/>
    <x v="0"/>
    <x v="0"/>
  </r>
  <r>
    <s v="IE00B42Z5J44"/>
    <x v="37"/>
    <n v="2"/>
    <x v="2"/>
    <x v="32"/>
    <x v="1"/>
    <x v="5"/>
    <s v="IJPE LN Equity"/>
    <x v="43"/>
    <x v="0"/>
    <x v="10"/>
    <x v="0"/>
    <x v="0"/>
  </r>
  <r>
    <s v="IE00B42Z5J44"/>
    <x v="38"/>
    <n v="0"/>
    <x v="2"/>
    <x v="33"/>
    <x v="1"/>
    <x v="5"/>
    <s v="IJPE LN Equity"/>
    <x v="43"/>
    <x v="0"/>
    <x v="10"/>
    <x v="0"/>
    <x v="0"/>
  </r>
  <r>
    <s v="IE00B42Z5J44"/>
    <x v="39"/>
    <n v="5"/>
    <x v="2"/>
    <x v="34"/>
    <x v="0"/>
    <x v="2"/>
    <s v="IJPE LN Equity"/>
    <x v="43"/>
    <x v="0"/>
    <x v="10"/>
    <x v="0"/>
    <x v="0"/>
  </r>
  <r>
    <s v="IE00B42Z5J44"/>
    <x v="40"/>
    <n v="4"/>
    <x v="2"/>
    <x v="35"/>
    <x v="0"/>
    <x v="2"/>
    <s v="IJPE LN Equity"/>
    <x v="43"/>
    <x v="0"/>
    <x v="10"/>
    <x v="0"/>
    <x v="0"/>
  </r>
  <r>
    <s v="IE00B42Z5J44"/>
    <x v="41"/>
    <n v="4"/>
    <x v="2"/>
    <x v="36"/>
    <x v="0"/>
    <x v="0"/>
    <s v="IJPE LN Equity"/>
    <x v="43"/>
    <x v="0"/>
    <x v="10"/>
    <x v="0"/>
    <x v="0"/>
  </r>
  <r>
    <s v="IE00B42Z5J44"/>
    <x v="42"/>
    <n v="3"/>
    <x v="2"/>
    <x v="37"/>
    <x v="0"/>
    <x v="0"/>
    <s v="IJPE LN Equity"/>
    <x v="43"/>
    <x v="0"/>
    <x v="10"/>
    <x v="0"/>
    <x v="0"/>
  </r>
  <r>
    <s v="IE00B42Z5J44"/>
    <x v="43"/>
    <n v="2"/>
    <x v="2"/>
    <x v="38"/>
    <x v="0"/>
    <x v="4"/>
    <s v="IJPE LN Equity"/>
    <x v="43"/>
    <x v="0"/>
    <x v="10"/>
    <x v="0"/>
    <x v="0"/>
  </r>
  <r>
    <s v="IE00B42Z5J44"/>
    <x v="44"/>
    <n v="0"/>
    <x v="2"/>
    <x v="39"/>
    <x v="0"/>
    <x v="4"/>
    <s v="IJPE LN Equity"/>
    <x v="43"/>
    <x v="0"/>
    <x v="10"/>
    <x v="0"/>
    <x v="0"/>
  </r>
  <r>
    <s v="IE00B42Z5J44"/>
    <x v="45"/>
    <n v="2"/>
    <x v="2"/>
    <x v="40"/>
    <x v="0"/>
    <x v="5"/>
    <s v="IJPE LN Equity"/>
    <x v="43"/>
    <x v="0"/>
    <x v="10"/>
    <x v="0"/>
    <x v="0"/>
  </r>
  <r>
    <s v="IE00B42Z5J44"/>
    <x v="46"/>
    <n v="0"/>
    <x v="2"/>
    <x v="41"/>
    <x v="0"/>
    <x v="5"/>
    <s v="IJPE LN Equity"/>
    <x v="43"/>
    <x v="0"/>
    <x v="10"/>
    <x v="0"/>
    <x v="0"/>
  </r>
  <r>
    <s v="IE00B42Z5J44"/>
    <x v="47"/>
    <n v="5"/>
    <x v="2"/>
    <x v="42"/>
    <x v="2"/>
    <x v="2"/>
    <s v="IJPE LN Equity"/>
    <x v="43"/>
    <x v="0"/>
    <x v="10"/>
    <x v="0"/>
    <x v="0"/>
  </r>
  <r>
    <s v="IE00B42Z5J44"/>
    <x v="48"/>
    <n v="4"/>
    <x v="2"/>
    <x v="43"/>
    <x v="2"/>
    <x v="2"/>
    <s v="IJPE LN Equity"/>
    <x v="43"/>
    <x v="0"/>
    <x v="10"/>
    <x v="0"/>
    <x v="0"/>
  </r>
  <r>
    <s v="IE00B42Z5J44"/>
    <x v="49"/>
    <n v="4"/>
    <x v="2"/>
    <x v="44"/>
    <x v="2"/>
    <x v="0"/>
    <s v="IJPE LN Equity"/>
    <x v="43"/>
    <x v="0"/>
    <x v="10"/>
    <x v="0"/>
    <x v="0"/>
  </r>
  <r>
    <s v="IE00B42Z5J44"/>
    <x v="50"/>
    <n v="3"/>
    <x v="2"/>
    <x v="45"/>
    <x v="2"/>
    <x v="0"/>
    <s v="IJPE LN Equity"/>
    <x v="43"/>
    <x v="0"/>
    <x v="10"/>
    <x v="0"/>
    <x v="0"/>
  </r>
  <r>
    <s v="IE00B42Z5J44"/>
    <x v="51"/>
    <n v="2"/>
    <x v="2"/>
    <x v="46"/>
    <x v="2"/>
    <x v="4"/>
    <s v="IJPE LN Equity"/>
    <x v="43"/>
    <x v="0"/>
    <x v="10"/>
    <x v="0"/>
    <x v="0"/>
  </r>
  <r>
    <s v="IE00B42Z5J44"/>
    <x v="52"/>
    <n v="0"/>
    <x v="2"/>
    <x v="47"/>
    <x v="2"/>
    <x v="4"/>
    <s v="IJPE LN Equity"/>
    <x v="43"/>
    <x v="0"/>
    <x v="10"/>
    <x v="0"/>
    <x v="0"/>
  </r>
  <r>
    <s v="IE00B42Z5J44"/>
    <x v="53"/>
    <n v="2"/>
    <x v="2"/>
    <x v="48"/>
    <x v="2"/>
    <x v="5"/>
    <s v="IJPE LN Equity"/>
    <x v="43"/>
    <x v="0"/>
    <x v="10"/>
    <x v="0"/>
    <x v="0"/>
  </r>
  <r>
    <s v="IE00B42Z5J44"/>
    <x v="54"/>
    <n v="0"/>
    <x v="2"/>
    <x v="49"/>
    <x v="2"/>
    <x v="5"/>
    <s v="IJPE LN Equity"/>
    <x v="43"/>
    <x v="0"/>
    <x v="10"/>
    <x v="0"/>
    <x v="0"/>
  </r>
  <r>
    <s v="IE00B42Z5J44"/>
    <x v="55"/>
    <n v="5"/>
    <x v="2"/>
    <x v="50"/>
    <x v="3"/>
    <x v="2"/>
    <s v="IJPE LN Equity"/>
    <x v="43"/>
    <x v="0"/>
    <x v="10"/>
    <x v="0"/>
    <x v="0"/>
  </r>
  <r>
    <s v="IE00B42Z5J44"/>
    <x v="56"/>
    <n v="4"/>
    <x v="2"/>
    <x v="51"/>
    <x v="3"/>
    <x v="2"/>
    <s v="IJPE LN Equity"/>
    <x v="43"/>
    <x v="0"/>
    <x v="10"/>
    <x v="0"/>
    <x v="0"/>
  </r>
  <r>
    <s v="IE00B42Z5J44"/>
    <x v="57"/>
    <n v="4"/>
    <x v="2"/>
    <x v="52"/>
    <x v="3"/>
    <x v="0"/>
    <s v="IJPE LN Equity"/>
    <x v="43"/>
    <x v="0"/>
    <x v="10"/>
    <x v="0"/>
    <x v="0"/>
  </r>
  <r>
    <s v="IE00B42Z5J44"/>
    <x v="58"/>
    <n v="3"/>
    <x v="2"/>
    <x v="53"/>
    <x v="3"/>
    <x v="0"/>
    <s v="IJPE LN Equity"/>
    <x v="43"/>
    <x v="0"/>
    <x v="10"/>
    <x v="0"/>
    <x v="0"/>
  </r>
  <r>
    <s v="IE00B42Z5J44"/>
    <x v="59"/>
    <n v="2"/>
    <x v="2"/>
    <x v="54"/>
    <x v="3"/>
    <x v="4"/>
    <s v="IJPE LN Equity"/>
    <x v="43"/>
    <x v="0"/>
    <x v="10"/>
    <x v="0"/>
    <x v="0"/>
  </r>
  <r>
    <s v="IE00B42Z5J44"/>
    <x v="60"/>
    <n v="0"/>
    <x v="2"/>
    <x v="55"/>
    <x v="3"/>
    <x v="4"/>
    <s v="IJPE LN Equity"/>
    <x v="43"/>
    <x v="0"/>
    <x v="10"/>
    <x v="0"/>
    <x v="0"/>
  </r>
  <r>
    <s v="IE00B42Z5J44"/>
    <x v="61"/>
    <n v="2"/>
    <x v="2"/>
    <x v="56"/>
    <x v="3"/>
    <x v="5"/>
    <s v="IJPE LN Equity"/>
    <x v="43"/>
    <x v="0"/>
    <x v="10"/>
    <x v="0"/>
    <x v="0"/>
  </r>
  <r>
    <s v="IE00B42Z5J44"/>
    <x v="62"/>
    <n v="0"/>
    <x v="2"/>
    <x v="57"/>
    <x v="3"/>
    <x v="5"/>
    <s v="IJPE LN Equity"/>
    <x v="43"/>
    <x v="0"/>
    <x v="10"/>
    <x v="0"/>
    <x v="0"/>
  </r>
  <r>
    <s v="IE00BD85PG80"/>
    <x v="31"/>
    <n v="0"/>
    <x v="2"/>
    <x v="26"/>
    <x v="1"/>
    <x v="2"/>
    <s v="LIARBA5 ID Equity"/>
    <x v="52"/>
    <x v="3"/>
    <x v="13"/>
    <x v="0"/>
    <x v="0"/>
  </r>
  <r>
    <s v="IE00BD85PG80"/>
    <x v="32"/>
    <n v="0"/>
    <x v="2"/>
    <x v="27"/>
    <x v="1"/>
    <x v="2"/>
    <s v="LIARBA5 ID Equity"/>
    <x v="52"/>
    <x v="3"/>
    <x v="13"/>
    <x v="0"/>
    <x v="0"/>
  </r>
  <r>
    <s v="IE00BD85PG80"/>
    <x v="33"/>
    <n v="0"/>
    <x v="2"/>
    <x v="28"/>
    <x v="1"/>
    <x v="0"/>
    <s v="LIARBA5 ID Equity"/>
    <x v="52"/>
    <x v="3"/>
    <x v="13"/>
    <x v="0"/>
    <x v="0"/>
  </r>
  <r>
    <s v="IE00BD85PG80"/>
    <x v="34"/>
    <n v="0"/>
    <x v="2"/>
    <x v="29"/>
    <x v="1"/>
    <x v="0"/>
    <s v="LIARBA5 ID Equity"/>
    <x v="52"/>
    <x v="3"/>
    <x v="13"/>
    <x v="0"/>
    <x v="0"/>
  </r>
  <r>
    <s v="IE00BD85PG80"/>
    <x v="35"/>
    <n v="3"/>
    <x v="2"/>
    <x v="30"/>
    <x v="1"/>
    <x v="4"/>
    <s v="LIARBA5 ID Equity"/>
    <x v="52"/>
    <x v="3"/>
    <x v="13"/>
    <x v="0"/>
    <x v="0"/>
  </r>
  <r>
    <s v="IE00BD85PG80"/>
    <x v="36"/>
    <n v="0"/>
    <x v="2"/>
    <x v="31"/>
    <x v="1"/>
    <x v="4"/>
    <s v="LIARBA5 ID Equity"/>
    <x v="52"/>
    <x v="3"/>
    <x v="13"/>
    <x v="0"/>
    <x v="0"/>
  </r>
  <r>
    <s v="IE00BD85PG80"/>
    <x v="37"/>
    <n v="3"/>
    <x v="2"/>
    <x v="32"/>
    <x v="1"/>
    <x v="5"/>
    <s v="LIARBA5 ID Equity"/>
    <x v="52"/>
    <x v="3"/>
    <x v="13"/>
    <x v="0"/>
    <x v="0"/>
  </r>
  <r>
    <s v="IE00BD85PG80"/>
    <x v="38"/>
    <n v="0"/>
    <x v="2"/>
    <x v="33"/>
    <x v="1"/>
    <x v="5"/>
    <s v="LIARBA5 ID Equity"/>
    <x v="52"/>
    <x v="3"/>
    <x v="13"/>
    <x v="0"/>
    <x v="0"/>
  </r>
  <r>
    <s v="IE00BD85PG80"/>
    <x v="39"/>
    <n v="0"/>
    <x v="2"/>
    <x v="34"/>
    <x v="0"/>
    <x v="2"/>
    <s v="LIARBA5 ID Equity"/>
    <x v="52"/>
    <x v="3"/>
    <x v="13"/>
    <x v="0"/>
    <x v="0"/>
  </r>
  <r>
    <s v="IE00BD85PG80"/>
    <x v="40"/>
    <n v="0"/>
    <x v="2"/>
    <x v="35"/>
    <x v="0"/>
    <x v="2"/>
    <s v="LIARBA5 ID Equity"/>
    <x v="52"/>
    <x v="3"/>
    <x v="13"/>
    <x v="0"/>
    <x v="0"/>
  </r>
  <r>
    <s v="IE00BD85PG80"/>
    <x v="41"/>
    <n v="0"/>
    <x v="2"/>
    <x v="36"/>
    <x v="0"/>
    <x v="0"/>
    <s v="LIARBA5 ID Equity"/>
    <x v="52"/>
    <x v="3"/>
    <x v="13"/>
    <x v="0"/>
    <x v="0"/>
  </r>
  <r>
    <s v="IE00BD85PG80"/>
    <x v="42"/>
    <n v="0"/>
    <x v="2"/>
    <x v="37"/>
    <x v="0"/>
    <x v="0"/>
    <s v="LIARBA5 ID Equity"/>
    <x v="52"/>
    <x v="3"/>
    <x v="13"/>
    <x v="0"/>
    <x v="0"/>
  </r>
  <r>
    <s v="IE00BD85PG80"/>
    <x v="43"/>
    <n v="3"/>
    <x v="2"/>
    <x v="38"/>
    <x v="0"/>
    <x v="4"/>
    <s v="LIARBA5 ID Equity"/>
    <x v="52"/>
    <x v="3"/>
    <x v="13"/>
    <x v="0"/>
    <x v="0"/>
  </r>
  <r>
    <s v="IE00BD85PG80"/>
    <x v="44"/>
    <n v="0"/>
    <x v="2"/>
    <x v="39"/>
    <x v="0"/>
    <x v="4"/>
    <s v="LIARBA5 ID Equity"/>
    <x v="52"/>
    <x v="3"/>
    <x v="13"/>
    <x v="0"/>
    <x v="0"/>
  </r>
  <r>
    <s v="IE00BD85PG80"/>
    <x v="45"/>
    <n v="3"/>
    <x v="2"/>
    <x v="40"/>
    <x v="0"/>
    <x v="5"/>
    <s v="LIARBA5 ID Equity"/>
    <x v="52"/>
    <x v="3"/>
    <x v="13"/>
    <x v="0"/>
    <x v="0"/>
  </r>
  <r>
    <s v="IE00BD85PG80"/>
    <x v="46"/>
    <n v="0"/>
    <x v="2"/>
    <x v="41"/>
    <x v="0"/>
    <x v="5"/>
    <s v="LIARBA5 ID Equity"/>
    <x v="52"/>
    <x v="3"/>
    <x v="13"/>
    <x v="0"/>
    <x v="0"/>
  </r>
  <r>
    <s v="IE00BD85PG80"/>
    <x v="47"/>
    <n v="0"/>
    <x v="2"/>
    <x v="42"/>
    <x v="2"/>
    <x v="2"/>
    <s v="LIARBA5 ID Equity"/>
    <x v="52"/>
    <x v="3"/>
    <x v="13"/>
    <x v="0"/>
    <x v="0"/>
  </r>
  <r>
    <s v="IE00BD85PG80"/>
    <x v="48"/>
    <n v="0"/>
    <x v="2"/>
    <x v="43"/>
    <x v="2"/>
    <x v="2"/>
    <s v="LIARBA5 ID Equity"/>
    <x v="52"/>
    <x v="3"/>
    <x v="13"/>
    <x v="0"/>
    <x v="0"/>
  </r>
  <r>
    <s v="IE00BD85PG80"/>
    <x v="49"/>
    <n v="0"/>
    <x v="2"/>
    <x v="44"/>
    <x v="2"/>
    <x v="0"/>
    <s v="LIARBA5 ID Equity"/>
    <x v="52"/>
    <x v="3"/>
    <x v="13"/>
    <x v="0"/>
    <x v="0"/>
  </r>
  <r>
    <s v="IE00BD85PG80"/>
    <x v="50"/>
    <n v="0"/>
    <x v="2"/>
    <x v="45"/>
    <x v="2"/>
    <x v="0"/>
    <s v="LIARBA5 ID Equity"/>
    <x v="52"/>
    <x v="3"/>
    <x v="13"/>
    <x v="0"/>
    <x v="0"/>
  </r>
  <r>
    <s v="IE00BD85PG80"/>
    <x v="51"/>
    <n v="3"/>
    <x v="2"/>
    <x v="46"/>
    <x v="2"/>
    <x v="4"/>
    <s v="LIARBA5 ID Equity"/>
    <x v="52"/>
    <x v="3"/>
    <x v="13"/>
    <x v="0"/>
    <x v="0"/>
  </r>
  <r>
    <s v="IE00BD85PG80"/>
    <x v="52"/>
    <n v="0"/>
    <x v="2"/>
    <x v="47"/>
    <x v="2"/>
    <x v="4"/>
    <s v="LIARBA5 ID Equity"/>
    <x v="52"/>
    <x v="3"/>
    <x v="13"/>
    <x v="0"/>
    <x v="0"/>
  </r>
  <r>
    <s v="IE00BD85PG80"/>
    <x v="53"/>
    <n v="3"/>
    <x v="2"/>
    <x v="48"/>
    <x v="2"/>
    <x v="5"/>
    <s v="LIARBA5 ID Equity"/>
    <x v="52"/>
    <x v="3"/>
    <x v="13"/>
    <x v="0"/>
    <x v="0"/>
  </r>
  <r>
    <s v="IE00BD85PG80"/>
    <x v="54"/>
    <n v="0"/>
    <x v="2"/>
    <x v="49"/>
    <x v="2"/>
    <x v="5"/>
    <s v="LIARBA5 ID Equity"/>
    <x v="52"/>
    <x v="3"/>
    <x v="13"/>
    <x v="0"/>
    <x v="0"/>
  </r>
  <r>
    <s v="IE00BD85PG80"/>
    <x v="55"/>
    <n v="0"/>
    <x v="2"/>
    <x v="50"/>
    <x v="3"/>
    <x v="2"/>
    <s v="LIARBA5 ID Equity"/>
    <x v="52"/>
    <x v="3"/>
    <x v="13"/>
    <x v="0"/>
    <x v="0"/>
  </r>
  <r>
    <s v="IE00BD85PG80"/>
    <x v="56"/>
    <n v="0"/>
    <x v="2"/>
    <x v="51"/>
    <x v="3"/>
    <x v="2"/>
    <s v="LIARBA5 ID Equity"/>
    <x v="52"/>
    <x v="3"/>
    <x v="13"/>
    <x v="0"/>
    <x v="0"/>
  </r>
  <r>
    <s v="IE00BD85PG80"/>
    <x v="57"/>
    <n v="0"/>
    <x v="2"/>
    <x v="52"/>
    <x v="3"/>
    <x v="0"/>
    <s v="LIARBA5 ID Equity"/>
    <x v="52"/>
    <x v="3"/>
    <x v="13"/>
    <x v="0"/>
    <x v="0"/>
  </r>
  <r>
    <s v="IE00BD85PG80"/>
    <x v="58"/>
    <n v="0"/>
    <x v="2"/>
    <x v="53"/>
    <x v="3"/>
    <x v="0"/>
    <s v="LIARBA5 ID Equity"/>
    <x v="52"/>
    <x v="3"/>
    <x v="13"/>
    <x v="0"/>
    <x v="0"/>
  </r>
  <r>
    <s v="IE00BD85PG80"/>
    <x v="59"/>
    <n v="3"/>
    <x v="2"/>
    <x v="54"/>
    <x v="3"/>
    <x v="4"/>
    <s v="LIARBA5 ID Equity"/>
    <x v="52"/>
    <x v="3"/>
    <x v="13"/>
    <x v="0"/>
    <x v="0"/>
  </r>
  <r>
    <s v="IE00BD85PG80"/>
    <x v="60"/>
    <n v="0"/>
    <x v="2"/>
    <x v="55"/>
    <x v="3"/>
    <x v="4"/>
    <s v="LIARBA5 ID Equity"/>
    <x v="52"/>
    <x v="3"/>
    <x v="13"/>
    <x v="0"/>
    <x v="0"/>
  </r>
  <r>
    <s v="IE00BD85PG80"/>
    <x v="61"/>
    <n v="3"/>
    <x v="2"/>
    <x v="56"/>
    <x v="3"/>
    <x v="5"/>
    <s v="LIARBA5 ID Equity"/>
    <x v="52"/>
    <x v="3"/>
    <x v="13"/>
    <x v="0"/>
    <x v="0"/>
  </r>
  <r>
    <s v="IE00BD85PG80"/>
    <x v="62"/>
    <n v="0"/>
    <x v="2"/>
    <x v="57"/>
    <x v="3"/>
    <x v="5"/>
    <s v="LIARBA5 ID Equity"/>
    <x v="52"/>
    <x v="3"/>
    <x v="13"/>
    <x v="0"/>
    <x v="0"/>
  </r>
  <r>
    <s v="IE00BP4KB520"/>
    <x v="31"/>
    <n v="0"/>
    <x v="2"/>
    <x v="26"/>
    <x v="1"/>
    <x v="2"/>
    <s v="LIOAIA1 ID Equity"/>
    <x v="96"/>
    <x v="0"/>
    <x v="9"/>
    <x v="0"/>
    <x v="0"/>
  </r>
  <r>
    <s v="IE00BP4KB520"/>
    <x v="32"/>
    <n v="0"/>
    <x v="2"/>
    <x v="27"/>
    <x v="1"/>
    <x v="2"/>
    <s v="LIOAIA1 ID Equity"/>
    <x v="96"/>
    <x v="0"/>
    <x v="9"/>
    <x v="0"/>
    <x v="0"/>
  </r>
  <r>
    <s v="IE00BP4KB520"/>
    <x v="33"/>
    <n v="0"/>
    <x v="2"/>
    <x v="28"/>
    <x v="1"/>
    <x v="0"/>
    <s v="LIOAIA1 ID Equity"/>
    <x v="96"/>
    <x v="0"/>
    <x v="9"/>
    <x v="0"/>
    <x v="0"/>
  </r>
  <r>
    <s v="IE00BP4KB520"/>
    <x v="34"/>
    <n v="0"/>
    <x v="2"/>
    <x v="29"/>
    <x v="1"/>
    <x v="0"/>
    <s v="LIOAIA1 ID Equity"/>
    <x v="96"/>
    <x v="0"/>
    <x v="9"/>
    <x v="0"/>
    <x v="0"/>
  </r>
  <r>
    <s v="IE00BP4KB520"/>
    <x v="35"/>
    <n v="0"/>
    <x v="2"/>
    <x v="30"/>
    <x v="1"/>
    <x v="4"/>
    <s v="LIOAIA1 ID Equity"/>
    <x v="96"/>
    <x v="0"/>
    <x v="9"/>
    <x v="0"/>
    <x v="0"/>
  </r>
  <r>
    <s v="IE00BP4KB520"/>
    <x v="36"/>
    <n v="0"/>
    <x v="2"/>
    <x v="31"/>
    <x v="1"/>
    <x v="4"/>
    <s v="LIOAIA1 ID Equity"/>
    <x v="96"/>
    <x v="0"/>
    <x v="9"/>
    <x v="0"/>
    <x v="0"/>
  </r>
  <r>
    <s v="IE00BP4KB520"/>
    <x v="37"/>
    <n v="0"/>
    <x v="2"/>
    <x v="32"/>
    <x v="1"/>
    <x v="5"/>
    <s v="LIOAIA1 ID Equity"/>
    <x v="96"/>
    <x v="0"/>
    <x v="9"/>
    <x v="0"/>
    <x v="0"/>
  </r>
  <r>
    <s v="IE00BP4KB520"/>
    <x v="38"/>
    <n v="0"/>
    <x v="2"/>
    <x v="33"/>
    <x v="1"/>
    <x v="5"/>
    <s v="LIOAIA1 ID Equity"/>
    <x v="96"/>
    <x v="0"/>
    <x v="9"/>
    <x v="0"/>
    <x v="0"/>
  </r>
  <r>
    <s v="IE00BP4KB520"/>
    <x v="39"/>
    <n v="0"/>
    <x v="2"/>
    <x v="34"/>
    <x v="0"/>
    <x v="2"/>
    <s v="LIOAIA1 ID Equity"/>
    <x v="96"/>
    <x v="0"/>
    <x v="9"/>
    <x v="0"/>
    <x v="0"/>
  </r>
  <r>
    <s v="IE00BP4KB520"/>
    <x v="40"/>
    <n v="0"/>
    <x v="2"/>
    <x v="35"/>
    <x v="0"/>
    <x v="2"/>
    <s v="LIOAIA1 ID Equity"/>
    <x v="96"/>
    <x v="0"/>
    <x v="9"/>
    <x v="0"/>
    <x v="0"/>
  </r>
  <r>
    <s v="IE00BP4KB520"/>
    <x v="41"/>
    <n v="0"/>
    <x v="2"/>
    <x v="36"/>
    <x v="0"/>
    <x v="0"/>
    <s v="LIOAIA1 ID Equity"/>
    <x v="96"/>
    <x v="0"/>
    <x v="9"/>
    <x v="0"/>
    <x v="0"/>
  </r>
  <r>
    <s v="IE00BP4KB520"/>
    <x v="42"/>
    <n v="0"/>
    <x v="2"/>
    <x v="37"/>
    <x v="0"/>
    <x v="0"/>
    <s v="LIOAIA1 ID Equity"/>
    <x v="96"/>
    <x v="0"/>
    <x v="9"/>
    <x v="0"/>
    <x v="0"/>
  </r>
  <r>
    <s v="IE00BP4KB520"/>
    <x v="43"/>
    <n v="0"/>
    <x v="2"/>
    <x v="38"/>
    <x v="0"/>
    <x v="4"/>
    <s v="LIOAIA1 ID Equity"/>
    <x v="96"/>
    <x v="0"/>
    <x v="9"/>
    <x v="0"/>
    <x v="0"/>
  </r>
  <r>
    <s v="IE00BP4KB520"/>
    <x v="44"/>
    <n v="0"/>
    <x v="2"/>
    <x v="39"/>
    <x v="0"/>
    <x v="4"/>
    <s v="LIOAIA1 ID Equity"/>
    <x v="96"/>
    <x v="0"/>
    <x v="9"/>
    <x v="0"/>
    <x v="0"/>
  </r>
  <r>
    <s v="IE00BP4KB520"/>
    <x v="45"/>
    <n v="0"/>
    <x v="2"/>
    <x v="40"/>
    <x v="0"/>
    <x v="5"/>
    <s v="LIOAIA1 ID Equity"/>
    <x v="96"/>
    <x v="0"/>
    <x v="9"/>
    <x v="0"/>
    <x v="0"/>
  </r>
  <r>
    <s v="IE00BP4KB520"/>
    <x v="46"/>
    <n v="0"/>
    <x v="2"/>
    <x v="41"/>
    <x v="0"/>
    <x v="5"/>
    <s v="LIOAIA1 ID Equity"/>
    <x v="96"/>
    <x v="0"/>
    <x v="9"/>
    <x v="0"/>
    <x v="0"/>
  </r>
  <r>
    <s v="IE00BP4KB520"/>
    <x v="47"/>
    <n v="0"/>
    <x v="2"/>
    <x v="42"/>
    <x v="2"/>
    <x v="2"/>
    <s v="LIOAIA1 ID Equity"/>
    <x v="96"/>
    <x v="0"/>
    <x v="9"/>
    <x v="0"/>
    <x v="0"/>
  </r>
  <r>
    <s v="IE00BP4KB520"/>
    <x v="48"/>
    <n v="0"/>
    <x v="2"/>
    <x v="43"/>
    <x v="2"/>
    <x v="2"/>
    <s v="LIOAIA1 ID Equity"/>
    <x v="96"/>
    <x v="0"/>
    <x v="9"/>
    <x v="0"/>
    <x v="0"/>
  </r>
  <r>
    <s v="IE00BP4KB520"/>
    <x v="49"/>
    <n v="0"/>
    <x v="2"/>
    <x v="44"/>
    <x v="2"/>
    <x v="0"/>
    <s v="LIOAIA1 ID Equity"/>
    <x v="96"/>
    <x v="0"/>
    <x v="9"/>
    <x v="0"/>
    <x v="0"/>
  </r>
  <r>
    <s v="IE00BP4KB520"/>
    <x v="50"/>
    <n v="0"/>
    <x v="2"/>
    <x v="45"/>
    <x v="2"/>
    <x v="0"/>
    <s v="LIOAIA1 ID Equity"/>
    <x v="96"/>
    <x v="0"/>
    <x v="9"/>
    <x v="0"/>
    <x v="0"/>
  </r>
  <r>
    <s v="IE00BP4KB520"/>
    <x v="51"/>
    <n v="0"/>
    <x v="2"/>
    <x v="46"/>
    <x v="2"/>
    <x v="4"/>
    <s v="LIOAIA1 ID Equity"/>
    <x v="96"/>
    <x v="0"/>
    <x v="9"/>
    <x v="0"/>
    <x v="0"/>
  </r>
  <r>
    <s v="IE00BP4KB520"/>
    <x v="52"/>
    <n v="0"/>
    <x v="2"/>
    <x v="47"/>
    <x v="2"/>
    <x v="4"/>
    <s v="LIOAIA1 ID Equity"/>
    <x v="96"/>
    <x v="0"/>
    <x v="9"/>
    <x v="0"/>
    <x v="0"/>
  </r>
  <r>
    <s v="IE00BP4KB520"/>
    <x v="53"/>
    <n v="0"/>
    <x v="2"/>
    <x v="48"/>
    <x v="2"/>
    <x v="5"/>
    <s v="LIOAIA1 ID Equity"/>
    <x v="96"/>
    <x v="0"/>
    <x v="9"/>
    <x v="0"/>
    <x v="0"/>
  </r>
  <r>
    <s v="IE00BP4KB520"/>
    <x v="54"/>
    <n v="0"/>
    <x v="2"/>
    <x v="49"/>
    <x v="2"/>
    <x v="5"/>
    <s v="LIOAIA1 ID Equity"/>
    <x v="96"/>
    <x v="0"/>
    <x v="9"/>
    <x v="0"/>
    <x v="0"/>
  </r>
  <r>
    <s v="IE00BP4KB520"/>
    <x v="55"/>
    <n v="0"/>
    <x v="2"/>
    <x v="50"/>
    <x v="3"/>
    <x v="2"/>
    <s v="LIOAIA1 ID Equity"/>
    <x v="96"/>
    <x v="0"/>
    <x v="9"/>
    <x v="0"/>
    <x v="0"/>
  </r>
  <r>
    <s v="IE00BP4KB520"/>
    <x v="56"/>
    <n v="0"/>
    <x v="2"/>
    <x v="51"/>
    <x v="3"/>
    <x v="2"/>
    <s v="LIOAIA1 ID Equity"/>
    <x v="96"/>
    <x v="0"/>
    <x v="9"/>
    <x v="0"/>
    <x v="0"/>
  </r>
  <r>
    <s v="IE00BP4KB520"/>
    <x v="57"/>
    <n v="0"/>
    <x v="2"/>
    <x v="52"/>
    <x v="3"/>
    <x v="0"/>
    <s v="LIOAIA1 ID Equity"/>
    <x v="96"/>
    <x v="0"/>
    <x v="9"/>
    <x v="0"/>
    <x v="0"/>
  </r>
  <r>
    <s v="IE00BP4KB520"/>
    <x v="58"/>
    <n v="0"/>
    <x v="2"/>
    <x v="53"/>
    <x v="3"/>
    <x v="0"/>
    <s v="LIOAIA1 ID Equity"/>
    <x v="96"/>
    <x v="0"/>
    <x v="9"/>
    <x v="0"/>
    <x v="0"/>
  </r>
  <r>
    <s v="IE00BP4KB520"/>
    <x v="59"/>
    <n v="0"/>
    <x v="2"/>
    <x v="54"/>
    <x v="3"/>
    <x v="4"/>
    <s v="LIOAIA1 ID Equity"/>
    <x v="96"/>
    <x v="0"/>
    <x v="9"/>
    <x v="0"/>
    <x v="0"/>
  </r>
  <r>
    <s v="IE00BP4KB520"/>
    <x v="60"/>
    <n v="0"/>
    <x v="2"/>
    <x v="55"/>
    <x v="3"/>
    <x v="4"/>
    <s v="LIOAIA1 ID Equity"/>
    <x v="96"/>
    <x v="0"/>
    <x v="9"/>
    <x v="0"/>
    <x v="0"/>
  </r>
  <r>
    <s v="IE00BP4KB520"/>
    <x v="61"/>
    <n v="0"/>
    <x v="2"/>
    <x v="56"/>
    <x v="3"/>
    <x v="5"/>
    <s v="LIOAIA1 ID Equity"/>
    <x v="96"/>
    <x v="0"/>
    <x v="9"/>
    <x v="0"/>
    <x v="0"/>
  </r>
  <r>
    <s v="IE00BP4KB520"/>
    <x v="62"/>
    <n v="0"/>
    <x v="2"/>
    <x v="57"/>
    <x v="3"/>
    <x v="5"/>
    <s v="LIOAIA1 ID Equity"/>
    <x v="96"/>
    <x v="0"/>
    <x v="9"/>
    <x v="0"/>
    <x v="0"/>
  </r>
  <r>
    <s v="IE00BYWRQH52"/>
    <x v="31"/>
    <n v="0"/>
    <x v="2"/>
    <x v="26"/>
    <x v="1"/>
    <x v="2"/>
    <s v="LISBA5A ID Equity"/>
    <x v="54"/>
    <x v="3"/>
    <x v="13"/>
    <x v="0"/>
    <x v="0"/>
  </r>
  <r>
    <s v="IE00BYWRQH52"/>
    <x v="32"/>
    <n v="0"/>
    <x v="2"/>
    <x v="27"/>
    <x v="1"/>
    <x v="2"/>
    <s v="LISBA5A ID Equity"/>
    <x v="54"/>
    <x v="3"/>
    <x v="13"/>
    <x v="0"/>
    <x v="0"/>
  </r>
  <r>
    <s v="IE00BYWRQH52"/>
    <x v="33"/>
    <n v="0"/>
    <x v="2"/>
    <x v="28"/>
    <x v="1"/>
    <x v="0"/>
    <s v="LISBA5A ID Equity"/>
    <x v="54"/>
    <x v="3"/>
    <x v="13"/>
    <x v="0"/>
    <x v="0"/>
  </r>
  <r>
    <s v="IE00BYWRQH52"/>
    <x v="34"/>
    <n v="0"/>
    <x v="2"/>
    <x v="29"/>
    <x v="1"/>
    <x v="0"/>
    <s v="LISBA5A ID Equity"/>
    <x v="54"/>
    <x v="3"/>
    <x v="13"/>
    <x v="0"/>
    <x v="0"/>
  </r>
  <r>
    <s v="IE00BYWRQH52"/>
    <x v="35"/>
    <n v="0"/>
    <x v="2"/>
    <x v="30"/>
    <x v="1"/>
    <x v="4"/>
    <s v="LISBA5A ID Equity"/>
    <x v="54"/>
    <x v="3"/>
    <x v="13"/>
    <x v="0"/>
    <x v="0"/>
  </r>
  <r>
    <s v="IE00BYWRQH52"/>
    <x v="36"/>
    <n v="0"/>
    <x v="2"/>
    <x v="31"/>
    <x v="1"/>
    <x v="4"/>
    <s v="LISBA5A ID Equity"/>
    <x v="54"/>
    <x v="3"/>
    <x v="13"/>
    <x v="0"/>
    <x v="0"/>
  </r>
  <r>
    <s v="IE00BYWRQH52"/>
    <x v="37"/>
    <n v="3"/>
    <x v="2"/>
    <x v="32"/>
    <x v="1"/>
    <x v="5"/>
    <s v="LISBA5A ID Equity"/>
    <x v="54"/>
    <x v="3"/>
    <x v="13"/>
    <x v="0"/>
    <x v="0"/>
  </r>
  <r>
    <s v="IE00BYWRQH52"/>
    <x v="38"/>
    <n v="0"/>
    <x v="2"/>
    <x v="33"/>
    <x v="1"/>
    <x v="5"/>
    <s v="LISBA5A ID Equity"/>
    <x v="54"/>
    <x v="3"/>
    <x v="13"/>
    <x v="0"/>
    <x v="0"/>
  </r>
  <r>
    <s v="IE00BYWRQH52"/>
    <x v="39"/>
    <n v="0"/>
    <x v="2"/>
    <x v="34"/>
    <x v="0"/>
    <x v="2"/>
    <s v="LISBA5A ID Equity"/>
    <x v="54"/>
    <x v="3"/>
    <x v="13"/>
    <x v="0"/>
    <x v="0"/>
  </r>
  <r>
    <s v="IE00BYWRQH52"/>
    <x v="40"/>
    <n v="0"/>
    <x v="2"/>
    <x v="35"/>
    <x v="0"/>
    <x v="2"/>
    <s v="LISBA5A ID Equity"/>
    <x v="54"/>
    <x v="3"/>
    <x v="13"/>
    <x v="0"/>
    <x v="0"/>
  </r>
  <r>
    <s v="IE00BYWRQH52"/>
    <x v="41"/>
    <n v="0"/>
    <x v="2"/>
    <x v="36"/>
    <x v="0"/>
    <x v="0"/>
    <s v="LISBA5A ID Equity"/>
    <x v="54"/>
    <x v="3"/>
    <x v="13"/>
    <x v="0"/>
    <x v="0"/>
  </r>
  <r>
    <s v="IE00BYWRQH52"/>
    <x v="42"/>
    <n v="0"/>
    <x v="2"/>
    <x v="37"/>
    <x v="0"/>
    <x v="0"/>
    <s v="LISBA5A ID Equity"/>
    <x v="54"/>
    <x v="3"/>
    <x v="13"/>
    <x v="0"/>
    <x v="0"/>
  </r>
  <r>
    <s v="IE00BYWRQH52"/>
    <x v="43"/>
    <n v="0"/>
    <x v="2"/>
    <x v="38"/>
    <x v="0"/>
    <x v="4"/>
    <s v="LISBA5A ID Equity"/>
    <x v="54"/>
    <x v="3"/>
    <x v="13"/>
    <x v="0"/>
    <x v="0"/>
  </r>
  <r>
    <s v="IE00BYWRQH52"/>
    <x v="44"/>
    <n v="0"/>
    <x v="2"/>
    <x v="39"/>
    <x v="0"/>
    <x v="4"/>
    <s v="LISBA5A ID Equity"/>
    <x v="54"/>
    <x v="3"/>
    <x v="13"/>
    <x v="0"/>
    <x v="0"/>
  </r>
  <r>
    <s v="IE00BYWRQH52"/>
    <x v="45"/>
    <n v="3"/>
    <x v="2"/>
    <x v="40"/>
    <x v="0"/>
    <x v="5"/>
    <s v="LISBA5A ID Equity"/>
    <x v="54"/>
    <x v="3"/>
    <x v="13"/>
    <x v="0"/>
    <x v="0"/>
  </r>
  <r>
    <s v="IE00BYWRQH52"/>
    <x v="46"/>
    <n v="0"/>
    <x v="2"/>
    <x v="41"/>
    <x v="0"/>
    <x v="5"/>
    <s v="LISBA5A ID Equity"/>
    <x v="54"/>
    <x v="3"/>
    <x v="13"/>
    <x v="0"/>
    <x v="0"/>
  </r>
  <r>
    <s v="IE00BYWRQH52"/>
    <x v="47"/>
    <n v="0"/>
    <x v="2"/>
    <x v="42"/>
    <x v="2"/>
    <x v="2"/>
    <s v="LISBA5A ID Equity"/>
    <x v="54"/>
    <x v="3"/>
    <x v="13"/>
    <x v="0"/>
    <x v="0"/>
  </r>
  <r>
    <s v="IE00BYWRQH52"/>
    <x v="48"/>
    <n v="0"/>
    <x v="2"/>
    <x v="43"/>
    <x v="2"/>
    <x v="2"/>
    <s v="LISBA5A ID Equity"/>
    <x v="54"/>
    <x v="3"/>
    <x v="13"/>
    <x v="0"/>
    <x v="0"/>
  </r>
  <r>
    <s v="IE00BYWRQH52"/>
    <x v="49"/>
    <n v="0"/>
    <x v="2"/>
    <x v="44"/>
    <x v="2"/>
    <x v="0"/>
    <s v="LISBA5A ID Equity"/>
    <x v="54"/>
    <x v="3"/>
    <x v="13"/>
    <x v="0"/>
    <x v="0"/>
  </r>
  <r>
    <s v="IE00BYWRQH52"/>
    <x v="50"/>
    <n v="0"/>
    <x v="2"/>
    <x v="45"/>
    <x v="2"/>
    <x v="0"/>
    <s v="LISBA5A ID Equity"/>
    <x v="54"/>
    <x v="3"/>
    <x v="13"/>
    <x v="0"/>
    <x v="0"/>
  </r>
  <r>
    <s v="IE00BYWRQH52"/>
    <x v="51"/>
    <n v="0"/>
    <x v="2"/>
    <x v="46"/>
    <x v="2"/>
    <x v="4"/>
    <s v="LISBA5A ID Equity"/>
    <x v="54"/>
    <x v="3"/>
    <x v="13"/>
    <x v="0"/>
    <x v="0"/>
  </r>
  <r>
    <s v="IE00BYWRQH52"/>
    <x v="52"/>
    <n v="0"/>
    <x v="2"/>
    <x v="47"/>
    <x v="2"/>
    <x v="4"/>
    <s v="LISBA5A ID Equity"/>
    <x v="54"/>
    <x v="3"/>
    <x v="13"/>
    <x v="0"/>
    <x v="0"/>
  </r>
  <r>
    <s v="IE00BYWRQH52"/>
    <x v="53"/>
    <n v="3"/>
    <x v="2"/>
    <x v="48"/>
    <x v="2"/>
    <x v="5"/>
    <s v="LISBA5A ID Equity"/>
    <x v="54"/>
    <x v="3"/>
    <x v="13"/>
    <x v="0"/>
    <x v="0"/>
  </r>
  <r>
    <s v="IE00BYWRQH52"/>
    <x v="54"/>
    <n v="0"/>
    <x v="2"/>
    <x v="49"/>
    <x v="2"/>
    <x v="5"/>
    <s v="LISBA5A ID Equity"/>
    <x v="54"/>
    <x v="3"/>
    <x v="13"/>
    <x v="0"/>
    <x v="0"/>
  </r>
  <r>
    <s v="IE00BYWRQH52"/>
    <x v="55"/>
    <n v="0"/>
    <x v="2"/>
    <x v="50"/>
    <x v="3"/>
    <x v="2"/>
    <s v="LISBA5A ID Equity"/>
    <x v="54"/>
    <x v="3"/>
    <x v="13"/>
    <x v="0"/>
    <x v="0"/>
  </r>
  <r>
    <s v="IE00BYWRQH52"/>
    <x v="56"/>
    <n v="0"/>
    <x v="2"/>
    <x v="51"/>
    <x v="3"/>
    <x v="2"/>
    <s v="LISBA5A ID Equity"/>
    <x v="54"/>
    <x v="3"/>
    <x v="13"/>
    <x v="0"/>
    <x v="0"/>
  </r>
  <r>
    <s v="IE00BYWRQH52"/>
    <x v="57"/>
    <n v="0"/>
    <x v="2"/>
    <x v="52"/>
    <x v="3"/>
    <x v="0"/>
    <s v="LISBA5A ID Equity"/>
    <x v="54"/>
    <x v="3"/>
    <x v="13"/>
    <x v="0"/>
    <x v="0"/>
  </r>
  <r>
    <s v="IE00BYWRQH52"/>
    <x v="58"/>
    <n v="0"/>
    <x v="2"/>
    <x v="53"/>
    <x v="3"/>
    <x v="0"/>
    <s v="LISBA5A ID Equity"/>
    <x v="54"/>
    <x v="3"/>
    <x v="13"/>
    <x v="0"/>
    <x v="0"/>
  </r>
  <r>
    <s v="IE00BYWRQH52"/>
    <x v="59"/>
    <n v="0"/>
    <x v="2"/>
    <x v="54"/>
    <x v="3"/>
    <x v="4"/>
    <s v="LISBA5A ID Equity"/>
    <x v="54"/>
    <x v="3"/>
    <x v="13"/>
    <x v="0"/>
    <x v="0"/>
  </r>
  <r>
    <s v="IE00BYWRQH52"/>
    <x v="60"/>
    <n v="0"/>
    <x v="2"/>
    <x v="55"/>
    <x v="3"/>
    <x v="4"/>
    <s v="LISBA5A ID Equity"/>
    <x v="54"/>
    <x v="3"/>
    <x v="13"/>
    <x v="0"/>
    <x v="0"/>
  </r>
  <r>
    <s v="IE00BYWRQH52"/>
    <x v="61"/>
    <n v="3"/>
    <x v="2"/>
    <x v="56"/>
    <x v="3"/>
    <x v="5"/>
    <s v="LISBA5A ID Equity"/>
    <x v="54"/>
    <x v="3"/>
    <x v="13"/>
    <x v="0"/>
    <x v="0"/>
  </r>
  <r>
    <s v="IE00BYWRQH52"/>
    <x v="62"/>
    <n v="0"/>
    <x v="2"/>
    <x v="57"/>
    <x v="3"/>
    <x v="5"/>
    <s v="LISBA5A ID Equity"/>
    <x v="54"/>
    <x v="3"/>
    <x v="13"/>
    <x v="0"/>
    <x v="0"/>
  </r>
  <r>
    <s v="IE00BJ2KPP06"/>
    <x v="55"/>
    <n v="0"/>
    <x v="2"/>
    <x v="50"/>
    <x v="3"/>
    <x v="2"/>
    <s v="MECAHUH ID Equity"/>
    <x v="97"/>
    <x v="3"/>
    <x v="13"/>
    <x v="3"/>
    <x v="0"/>
  </r>
  <r>
    <s v="IE00BJ2KPP06"/>
    <x v="56"/>
    <n v="0"/>
    <x v="2"/>
    <x v="51"/>
    <x v="3"/>
    <x v="2"/>
    <s v="MECAHUH ID Equity"/>
    <x v="97"/>
    <x v="3"/>
    <x v="13"/>
    <x v="3"/>
    <x v="0"/>
  </r>
  <r>
    <s v="IE00BJ2KPP06"/>
    <x v="57"/>
    <n v="0"/>
    <x v="2"/>
    <x v="52"/>
    <x v="3"/>
    <x v="0"/>
    <s v="MECAHUH ID Equity"/>
    <x v="97"/>
    <x v="3"/>
    <x v="13"/>
    <x v="3"/>
    <x v="0"/>
  </r>
  <r>
    <s v="IE00BJ2KPP06"/>
    <x v="58"/>
    <n v="0"/>
    <x v="2"/>
    <x v="53"/>
    <x v="3"/>
    <x v="0"/>
    <s v="MECAHUH ID Equity"/>
    <x v="97"/>
    <x v="3"/>
    <x v="13"/>
    <x v="3"/>
    <x v="0"/>
  </r>
  <r>
    <s v="IE00BJ2KPP06"/>
    <x v="59"/>
    <n v="0"/>
    <x v="2"/>
    <x v="54"/>
    <x v="3"/>
    <x v="4"/>
    <s v="MECAHUH ID Equity"/>
    <x v="97"/>
    <x v="3"/>
    <x v="13"/>
    <x v="3"/>
    <x v="0"/>
  </r>
  <r>
    <s v="IE00BJ2KPP06"/>
    <x v="60"/>
    <n v="0"/>
    <x v="2"/>
    <x v="55"/>
    <x v="3"/>
    <x v="4"/>
    <s v="MECAHUH ID Equity"/>
    <x v="97"/>
    <x v="3"/>
    <x v="13"/>
    <x v="3"/>
    <x v="0"/>
  </r>
  <r>
    <s v="IE00BJ2KPP06"/>
    <x v="61"/>
    <n v="0"/>
    <x v="2"/>
    <x v="56"/>
    <x v="3"/>
    <x v="5"/>
    <s v="MECAHUH ID Equity"/>
    <x v="97"/>
    <x v="3"/>
    <x v="13"/>
    <x v="3"/>
    <x v="0"/>
  </r>
  <r>
    <s v="IE00BJ2KPP06"/>
    <x v="62"/>
    <n v="0"/>
    <x v="2"/>
    <x v="57"/>
    <x v="3"/>
    <x v="5"/>
    <s v="MECAHUH ID Equity"/>
    <x v="97"/>
    <x v="3"/>
    <x v="13"/>
    <x v="3"/>
    <x v="0"/>
  </r>
  <r>
    <s v="IE00BF4K8391"/>
    <x v="31"/>
    <n v="0"/>
    <x v="2"/>
    <x v="26"/>
    <x v="1"/>
    <x v="2"/>
    <s v="MECHEAF ID Equity"/>
    <x v="98"/>
    <x v="3"/>
    <x v="13"/>
    <x v="0"/>
    <x v="0"/>
  </r>
  <r>
    <s v="IE00BF4K8391"/>
    <x v="32"/>
    <n v="0"/>
    <x v="2"/>
    <x v="27"/>
    <x v="1"/>
    <x v="2"/>
    <s v="MECHEAF ID Equity"/>
    <x v="98"/>
    <x v="3"/>
    <x v="13"/>
    <x v="0"/>
    <x v="0"/>
  </r>
  <r>
    <s v="IE00BF4K8391"/>
    <x v="33"/>
    <n v="0"/>
    <x v="2"/>
    <x v="28"/>
    <x v="1"/>
    <x v="0"/>
    <s v="MECHEAF ID Equity"/>
    <x v="98"/>
    <x v="3"/>
    <x v="13"/>
    <x v="0"/>
    <x v="0"/>
  </r>
  <r>
    <s v="IE00BF4K8391"/>
    <x v="34"/>
    <n v="0"/>
    <x v="2"/>
    <x v="29"/>
    <x v="1"/>
    <x v="0"/>
    <s v="MECHEAF ID Equity"/>
    <x v="98"/>
    <x v="3"/>
    <x v="13"/>
    <x v="0"/>
    <x v="0"/>
  </r>
  <r>
    <s v="IE00BF4K8391"/>
    <x v="35"/>
    <n v="0"/>
    <x v="2"/>
    <x v="30"/>
    <x v="1"/>
    <x v="4"/>
    <s v="MECHEAF ID Equity"/>
    <x v="98"/>
    <x v="3"/>
    <x v="13"/>
    <x v="0"/>
    <x v="0"/>
  </r>
  <r>
    <s v="IE00BF4K8391"/>
    <x v="36"/>
    <n v="0"/>
    <x v="2"/>
    <x v="31"/>
    <x v="1"/>
    <x v="4"/>
    <s v="MECHEAF ID Equity"/>
    <x v="98"/>
    <x v="3"/>
    <x v="13"/>
    <x v="0"/>
    <x v="0"/>
  </r>
  <r>
    <s v="IE00BF4K8391"/>
    <x v="37"/>
    <n v="0"/>
    <x v="2"/>
    <x v="32"/>
    <x v="1"/>
    <x v="5"/>
    <s v="MECHEAF ID Equity"/>
    <x v="98"/>
    <x v="3"/>
    <x v="13"/>
    <x v="0"/>
    <x v="0"/>
  </r>
  <r>
    <s v="IE00BF4K8391"/>
    <x v="38"/>
    <n v="0"/>
    <x v="2"/>
    <x v="33"/>
    <x v="1"/>
    <x v="5"/>
    <s v="MECHEAF ID Equity"/>
    <x v="98"/>
    <x v="3"/>
    <x v="13"/>
    <x v="0"/>
    <x v="0"/>
  </r>
  <r>
    <s v="IE00BF4K8391"/>
    <x v="39"/>
    <n v="0"/>
    <x v="2"/>
    <x v="34"/>
    <x v="0"/>
    <x v="2"/>
    <s v="MECHEAF ID Equity"/>
    <x v="98"/>
    <x v="3"/>
    <x v="13"/>
    <x v="0"/>
    <x v="0"/>
  </r>
  <r>
    <s v="IE00BF4K8391"/>
    <x v="40"/>
    <n v="0"/>
    <x v="2"/>
    <x v="35"/>
    <x v="0"/>
    <x v="2"/>
    <s v="MECHEAF ID Equity"/>
    <x v="98"/>
    <x v="3"/>
    <x v="13"/>
    <x v="0"/>
    <x v="0"/>
  </r>
  <r>
    <s v="IE00BF4K8391"/>
    <x v="41"/>
    <n v="0"/>
    <x v="2"/>
    <x v="36"/>
    <x v="0"/>
    <x v="0"/>
    <s v="MECHEAF ID Equity"/>
    <x v="98"/>
    <x v="3"/>
    <x v="13"/>
    <x v="0"/>
    <x v="0"/>
  </r>
  <r>
    <s v="IE00BF4K8391"/>
    <x v="42"/>
    <n v="0"/>
    <x v="2"/>
    <x v="37"/>
    <x v="0"/>
    <x v="0"/>
    <s v="MECHEAF ID Equity"/>
    <x v="98"/>
    <x v="3"/>
    <x v="13"/>
    <x v="0"/>
    <x v="0"/>
  </r>
  <r>
    <s v="IE00BF4K8391"/>
    <x v="43"/>
    <n v="0"/>
    <x v="2"/>
    <x v="38"/>
    <x v="0"/>
    <x v="4"/>
    <s v="MECHEAF ID Equity"/>
    <x v="98"/>
    <x v="3"/>
    <x v="13"/>
    <x v="0"/>
    <x v="0"/>
  </r>
  <r>
    <s v="IE00BF4K8391"/>
    <x v="44"/>
    <n v="0"/>
    <x v="2"/>
    <x v="39"/>
    <x v="0"/>
    <x v="4"/>
    <s v="MECHEAF ID Equity"/>
    <x v="98"/>
    <x v="3"/>
    <x v="13"/>
    <x v="0"/>
    <x v="0"/>
  </r>
  <r>
    <s v="IE00BF4K8391"/>
    <x v="45"/>
    <n v="0"/>
    <x v="2"/>
    <x v="40"/>
    <x v="0"/>
    <x v="5"/>
    <s v="MECHEAF ID Equity"/>
    <x v="98"/>
    <x v="3"/>
    <x v="13"/>
    <x v="0"/>
    <x v="0"/>
  </r>
  <r>
    <s v="IE00BF4K8391"/>
    <x v="46"/>
    <n v="0"/>
    <x v="2"/>
    <x v="41"/>
    <x v="0"/>
    <x v="5"/>
    <s v="MECHEAF ID Equity"/>
    <x v="98"/>
    <x v="3"/>
    <x v="13"/>
    <x v="0"/>
    <x v="0"/>
  </r>
  <r>
    <s v="IE00BYWRTG50"/>
    <x v="47"/>
    <n v="0"/>
    <x v="2"/>
    <x v="42"/>
    <x v="2"/>
    <x v="2"/>
    <s v="MECHGAF ID Equity"/>
    <x v="99"/>
    <x v="3"/>
    <x v="13"/>
    <x v="5"/>
    <x v="0"/>
  </r>
  <r>
    <s v="IE00BYWRTG50"/>
    <x v="48"/>
    <n v="0"/>
    <x v="2"/>
    <x v="43"/>
    <x v="2"/>
    <x v="2"/>
    <s v="MECHGAF ID Equity"/>
    <x v="99"/>
    <x v="3"/>
    <x v="13"/>
    <x v="5"/>
    <x v="0"/>
  </r>
  <r>
    <s v="IE00BYWRTG50"/>
    <x v="49"/>
    <n v="0"/>
    <x v="2"/>
    <x v="44"/>
    <x v="2"/>
    <x v="0"/>
    <s v="MECHGAF ID Equity"/>
    <x v="99"/>
    <x v="3"/>
    <x v="13"/>
    <x v="5"/>
    <x v="0"/>
  </r>
  <r>
    <s v="IE00BYWRTG50"/>
    <x v="50"/>
    <n v="0"/>
    <x v="2"/>
    <x v="45"/>
    <x v="2"/>
    <x v="0"/>
    <s v="MECHGAF ID Equity"/>
    <x v="99"/>
    <x v="3"/>
    <x v="13"/>
    <x v="5"/>
    <x v="0"/>
  </r>
  <r>
    <s v="IE00BYWRTG50"/>
    <x v="51"/>
    <n v="0"/>
    <x v="2"/>
    <x v="46"/>
    <x v="2"/>
    <x v="4"/>
    <s v="MECHGAF ID Equity"/>
    <x v="99"/>
    <x v="3"/>
    <x v="13"/>
    <x v="5"/>
    <x v="0"/>
  </r>
  <r>
    <s v="IE00BYWRTG50"/>
    <x v="52"/>
    <n v="0"/>
    <x v="2"/>
    <x v="47"/>
    <x v="2"/>
    <x v="4"/>
    <s v="MECHGAF ID Equity"/>
    <x v="99"/>
    <x v="3"/>
    <x v="13"/>
    <x v="5"/>
    <x v="0"/>
  </r>
  <r>
    <s v="IE00BYWRTG50"/>
    <x v="53"/>
    <n v="0"/>
    <x v="2"/>
    <x v="48"/>
    <x v="2"/>
    <x v="5"/>
    <s v="MECHGAF ID Equity"/>
    <x v="99"/>
    <x v="3"/>
    <x v="13"/>
    <x v="5"/>
    <x v="0"/>
  </r>
  <r>
    <s v="IE00BYWRTG50"/>
    <x v="54"/>
    <n v="0"/>
    <x v="2"/>
    <x v="49"/>
    <x v="2"/>
    <x v="5"/>
    <s v="MECHGAF ID Equity"/>
    <x v="99"/>
    <x v="3"/>
    <x v="13"/>
    <x v="5"/>
    <x v="0"/>
  </r>
  <r>
    <s v="IE00BD08G390"/>
    <x v="31"/>
    <n v="5"/>
    <x v="2"/>
    <x v="26"/>
    <x v="1"/>
    <x v="2"/>
    <s v="MLAQSEI ID Equity"/>
    <x v="49"/>
    <x v="1"/>
    <x v="12"/>
    <x v="0"/>
    <x v="0"/>
  </r>
  <r>
    <s v="IE00BD08G390"/>
    <x v="32"/>
    <n v="5"/>
    <x v="2"/>
    <x v="27"/>
    <x v="1"/>
    <x v="2"/>
    <s v="MLAQSEI ID Equity"/>
    <x v="49"/>
    <x v="1"/>
    <x v="12"/>
    <x v="0"/>
    <x v="0"/>
  </r>
  <r>
    <s v="IE00BD08G390"/>
    <x v="33"/>
    <n v="5"/>
    <x v="2"/>
    <x v="28"/>
    <x v="1"/>
    <x v="0"/>
    <s v="MLAQSEI ID Equity"/>
    <x v="49"/>
    <x v="1"/>
    <x v="12"/>
    <x v="0"/>
    <x v="0"/>
  </r>
  <r>
    <s v="IE00BD08G390"/>
    <x v="34"/>
    <n v="5"/>
    <x v="2"/>
    <x v="29"/>
    <x v="1"/>
    <x v="0"/>
    <s v="MLAQSEI ID Equity"/>
    <x v="49"/>
    <x v="1"/>
    <x v="12"/>
    <x v="0"/>
    <x v="0"/>
  </r>
  <r>
    <s v="IE00BD08G390"/>
    <x v="35"/>
    <n v="4"/>
    <x v="2"/>
    <x v="30"/>
    <x v="1"/>
    <x v="4"/>
    <s v="MLAQSEI ID Equity"/>
    <x v="49"/>
    <x v="1"/>
    <x v="12"/>
    <x v="0"/>
    <x v="0"/>
  </r>
  <r>
    <s v="IE00BD08G390"/>
    <x v="36"/>
    <n v="4"/>
    <x v="2"/>
    <x v="31"/>
    <x v="1"/>
    <x v="4"/>
    <s v="MLAQSEI ID Equity"/>
    <x v="49"/>
    <x v="1"/>
    <x v="12"/>
    <x v="0"/>
    <x v="0"/>
  </r>
  <r>
    <s v="IE00BD08G390"/>
    <x v="37"/>
    <n v="0"/>
    <x v="2"/>
    <x v="32"/>
    <x v="1"/>
    <x v="5"/>
    <s v="MLAQSEI ID Equity"/>
    <x v="49"/>
    <x v="1"/>
    <x v="12"/>
    <x v="0"/>
    <x v="0"/>
  </r>
  <r>
    <s v="IE00BD08G390"/>
    <x v="38"/>
    <n v="0"/>
    <x v="2"/>
    <x v="33"/>
    <x v="1"/>
    <x v="5"/>
    <s v="MLAQSEI ID Equity"/>
    <x v="49"/>
    <x v="1"/>
    <x v="12"/>
    <x v="0"/>
    <x v="0"/>
  </r>
  <r>
    <s v="IE00BD08G390"/>
    <x v="39"/>
    <n v="5"/>
    <x v="2"/>
    <x v="34"/>
    <x v="0"/>
    <x v="2"/>
    <s v="MLAQSEI ID Equity"/>
    <x v="49"/>
    <x v="1"/>
    <x v="12"/>
    <x v="0"/>
    <x v="0"/>
  </r>
  <r>
    <s v="IE00BD08G390"/>
    <x v="40"/>
    <n v="5"/>
    <x v="2"/>
    <x v="35"/>
    <x v="0"/>
    <x v="2"/>
    <s v="MLAQSEI ID Equity"/>
    <x v="49"/>
    <x v="1"/>
    <x v="12"/>
    <x v="0"/>
    <x v="0"/>
  </r>
  <r>
    <s v="IE00BD08G390"/>
    <x v="41"/>
    <n v="5"/>
    <x v="2"/>
    <x v="36"/>
    <x v="0"/>
    <x v="0"/>
    <s v="MLAQSEI ID Equity"/>
    <x v="49"/>
    <x v="1"/>
    <x v="12"/>
    <x v="0"/>
    <x v="0"/>
  </r>
  <r>
    <s v="IE00BD08G390"/>
    <x v="42"/>
    <n v="5"/>
    <x v="2"/>
    <x v="37"/>
    <x v="0"/>
    <x v="0"/>
    <s v="MLAQSEI ID Equity"/>
    <x v="49"/>
    <x v="1"/>
    <x v="12"/>
    <x v="0"/>
    <x v="0"/>
  </r>
  <r>
    <s v="IE00BD08G390"/>
    <x v="43"/>
    <n v="4"/>
    <x v="2"/>
    <x v="38"/>
    <x v="0"/>
    <x v="4"/>
    <s v="MLAQSEI ID Equity"/>
    <x v="49"/>
    <x v="1"/>
    <x v="12"/>
    <x v="0"/>
    <x v="0"/>
  </r>
  <r>
    <s v="IE00BD08G390"/>
    <x v="44"/>
    <n v="4"/>
    <x v="2"/>
    <x v="39"/>
    <x v="0"/>
    <x v="4"/>
    <s v="MLAQSEI ID Equity"/>
    <x v="49"/>
    <x v="1"/>
    <x v="12"/>
    <x v="0"/>
    <x v="0"/>
  </r>
  <r>
    <s v="IE00BD08G390"/>
    <x v="45"/>
    <n v="0"/>
    <x v="2"/>
    <x v="40"/>
    <x v="0"/>
    <x v="5"/>
    <s v="MLAQSEI ID Equity"/>
    <x v="49"/>
    <x v="1"/>
    <x v="12"/>
    <x v="0"/>
    <x v="0"/>
  </r>
  <r>
    <s v="IE00BD08G390"/>
    <x v="46"/>
    <n v="0"/>
    <x v="2"/>
    <x v="41"/>
    <x v="0"/>
    <x v="5"/>
    <s v="MLAQSEI ID Equity"/>
    <x v="49"/>
    <x v="1"/>
    <x v="12"/>
    <x v="0"/>
    <x v="0"/>
  </r>
  <r>
    <s v="IE00BD08G390"/>
    <x v="47"/>
    <n v="5"/>
    <x v="2"/>
    <x v="42"/>
    <x v="2"/>
    <x v="2"/>
    <s v="MLAQSEI ID Equity"/>
    <x v="49"/>
    <x v="1"/>
    <x v="12"/>
    <x v="0"/>
    <x v="0"/>
  </r>
  <r>
    <s v="IE00BD08G390"/>
    <x v="48"/>
    <n v="5"/>
    <x v="2"/>
    <x v="43"/>
    <x v="2"/>
    <x v="2"/>
    <s v="MLAQSEI ID Equity"/>
    <x v="49"/>
    <x v="1"/>
    <x v="12"/>
    <x v="0"/>
    <x v="0"/>
  </r>
  <r>
    <s v="IE00BD08G390"/>
    <x v="49"/>
    <n v="5"/>
    <x v="2"/>
    <x v="44"/>
    <x v="2"/>
    <x v="0"/>
    <s v="MLAQSEI ID Equity"/>
    <x v="49"/>
    <x v="1"/>
    <x v="12"/>
    <x v="0"/>
    <x v="0"/>
  </r>
  <r>
    <s v="IE00BD08G390"/>
    <x v="50"/>
    <n v="5"/>
    <x v="2"/>
    <x v="45"/>
    <x v="2"/>
    <x v="0"/>
    <s v="MLAQSEI ID Equity"/>
    <x v="49"/>
    <x v="1"/>
    <x v="12"/>
    <x v="0"/>
    <x v="0"/>
  </r>
  <r>
    <s v="IE00BD08G390"/>
    <x v="51"/>
    <n v="4"/>
    <x v="2"/>
    <x v="46"/>
    <x v="2"/>
    <x v="4"/>
    <s v="MLAQSEI ID Equity"/>
    <x v="49"/>
    <x v="1"/>
    <x v="12"/>
    <x v="0"/>
    <x v="0"/>
  </r>
  <r>
    <s v="IE00BD08G390"/>
    <x v="52"/>
    <n v="4"/>
    <x v="2"/>
    <x v="47"/>
    <x v="2"/>
    <x v="4"/>
    <s v="MLAQSEI ID Equity"/>
    <x v="49"/>
    <x v="1"/>
    <x v="12"/>
    <x v="0"/>
    <x v="0"/>
  </r>
  <r>
    <s v="IE00BD08G390"/>
    <x v="53"/>
    <n v="0"/>
    <x v="2"/>
    <x v="48"/>
    <x v="2"/>
    <x v="5"/>
    <s v="MLAQSEI ID Equity"/>
    <x v="49"/>
    <x v="1"/>
    <x v="12"/>
    <x v="0"/>
    <x v="0"/>
  </r>
  <r>
    <s v="IE00BD08G390"/>
    <x v="54"/>
    <n v="0"/>
    <x v="2"/>
    <x v="49"/>
    <x v="2"/>
    <x v="5"/>
    <s v="MLAQSEI ID Equity"/>
    <x v="49"/>
    <x v="1"/>
    <x v="12"/>
    <x v="0"/>
    <x v="0"/>
  </r>
  <r>
    <s v="IE00BD08G390"/>
    <x v="55"/>
    <n v="5"/>
    <x v="2"/>
    <x v="50"/>
    <x v="3"/>
    <x v="2"/>
    <s v="MLAQSEI ID Equity"/>
    <x v="49"/>
    <x v="1"/>
    <x v="12"/>
    <x v="3"/>
    <x v="0"/>
  </r>
  <r>
    <s v="IE00BD08G390"/>
    <x v="56"/>
    <n v="5"/>
    <x v="2"/>
    <x v="51"/>
    <x v="3"/>
    <x v="2"/>
    <s v="MLAQSEI ID Equity"/>
    <x v="49"/>
    <x v="1"/>
    <x v="12"/>
    <x v="3"/>
    <x v="0"/>
  </r>
  <r>
    <s v="IE00BD08G390"/>
    <x v="57"/>
    <n v="5"/>
    <x v="2"/>
    <x v="52"/>
    <x v="3"/>
    <x v="0"/>
    <s v="MLAQSEI ID Equity"/>
    <x v="49"/>
    <x v="1"/>
    <x v="12"/>
    <x v="3"/>
    <x v="0"/>
  </r>
  <r>
    <s v="IE00BD08G390"/>
    <x v="58"/>
    <n v="5"/>
    <x v="2"/>
    <x v="53"/>
    <x v="3"/>
    <x v="0"/>
    <s v="MLAQSEI ID Equity"/>
    <x v="49"/>
    <x v="1"/>
    <x v="12"/>
    <x v="3"/>
    <x v="0"/>
  </r>
  <r>
    <s v="IE00BD08G390"/>
    <x v="59"/>
    <n v="4"/>
    <x v="2"/>
    <x v="54"/>
    <x v="3"/>
    <x v="4"/>
    <s v="MLAQSEI ID Equity"/>
    <x v="49"/>
    <x v="1"/>
    <x v="12"/>
    <x v="3"/>
    <x v="0"/>
  </r>
  <r>
    <s v="IE00BD08G390"/>
    <x v="60"/>
    <n v="4"/>
    <x v="2"/>
    <x v="55"/>
    <x v="3"/>
    <x v="4"/>
    <s v="MLAQSEI ID Equity"/>
    <x v="49"/>
    <x v="1"/>
    <x v="12"/>
    <x v="3"/>
    <x v="0"/>
  </r>
  <r>
    <s v="IE00BD08G390"/>
    <x v="61"/>
    <n v="0"/>
    <x v="2"/>
    <x v="56"/>
    <x v="3"/>
    <x v="5"/>
    <s v="MLAQSEI ID Equity"/>
    <x v="49"/>
    <x v="1"/>
    <x v="12"/>
    <x v="3"/>
    <x v="0"/>
  </r>
  <r>
    <s v="IE00BD08G390"/>
    <x v="62"/>
    <n v="0"/>
    <x v="2"/>
    <x v="57"/>
    <x v="3"/>
    <x v="5"/>
    <s v="MLAQSEI ID Equity"/>
    <x v="49"/>
    <x v="1"/>
    <x v="12"/>
    <x v="3"/>
    <x v="0"/>
  </r>
  <r>
    <s v="IE00B96BJC40"/>
    <x v="31"/>
    <n v="0"/>
    <x v="2"/>
    <x v="26"/>
    <x v="1"/>
    <x v="2"/>
    <s v="MUHCHAS ID Equity"/>
    <x v="48"/>
    <x v="3"/>
    <x v="11"/>
    <x v="2"/>
    <x v="0"/>
  </r>
  <r>
    <s v="IE00B96BJC40"/>
    <x v="32"/>
    <n v="0"/>
    <x v="2"/>
    <x v="27"/>
    <x v="1"/>
    <x v="2"/>
    <s v="MUHCHAS ID Equity"/>
    <x v="48"/>
    <x v="3"/>
    <x v="11"/>
    <x v="2"/>
    <x v="0"/>
  </r>
  <r>
    <s v="IE00B96BJC40"/>
    <x v="33"/>
    <n v="0"/>
    <x v="2"/>
    <x v="28"/>
    <x v="1"/>
    <x v="0"/>
    <s v="MUHCHAS ID Equity"/>
    <x v="48"/>
    <x v="3"/>
    <x v="11"/>
    <x v="2"/>
    <x v="0"/>
  </r>
  <r>
    <s v="IE00B96BJC40"/>
    <x v="34"/>
    <n v="0"/>
    <x v="2"/>
    <x v="29"/>
    <x v="1"/>
    <x v="0"/>
    <s v="MUHCHAS ID Equity"/>
    <x v="48"/>
    <x v="3"/>
    <x v="11"/>
    <x v="2"/>
    <x v="0"/>
  </r>
  <r>
    <s v="IE00B96BJC40"/>
    <x v="35"/>
    <n v="4"/>
    <x v="2"/>
    <x v="30"/>
    <x v="1"/>
    <x v="4"/>
    <s v="MUHCHAS ID Equity"/>
    <x v="48"/>
    <x v="3"/>
    <x v="11"/>
    <x v="2"/>
    <x v="0"/>
  </r>
  <r>
    <s v="IE00B96BJC40"/>
    <x v="36"/>
    <n v="5"/>
    <x v="2"/>
    <x v="31"/>
    <x v="1"/>
    <x v="4"/>
    <s v="MUHCHAS ID Equity"/>
    <x v="48"/>
    <x v="3"/>
    <x v="11"/>
    <x v="2"/>
    <x v="0"/>
  </r>
  <r>
    <s v="IE00B96BJC40"/>
    <x v="37"/>
    <n v="3"/>
    <x v="2"/>
    <x v="32"/>
    <x v="1"/>
    <x v="5"/>
    <s v="MUHCHAS ID Equity"/>
    <x v="48"/>
    <x v="3"/>
    <x v="11"/>
    <x v="2"/>
    <x v="0"/>
  </r>
  <r>
    <s v="IE00B96BJC40"/>
    <x v="38"/>
    <n v="5"/>
    <x v="2"/>
    <x v="33"/>
    <x v="1"/>
    <x v="5"/>
    <s v="MUHCHAS ID Equity"/>
    <x v="48"/>
    <x v="3"/>
    <x v="11"/>
    <x v="2"/>
    <x v="0"/>
  </r>
  <r>
    <s v="IE00B5BHGW80"/>
    <x v="39"/>
    <n v="0"/>
    <x v="2"/>
    <x v="34"/>
    <x v="0"/>
    <x v="2"/>
    <s v="MUZSDEA ID Equity"/>
    <x v="46"/>
    <x v="3"/>
    <x v="11"/>
    <x v="0"/>
    <x v="0"/>
  </r>
  <r>
    <s v="IE00B5BHGW80"/>
    <x v="40"/>
    <n v="0"/>
    <x v="2"/>
    <x v="35"/>
    <x v="0"/>
    <x v="2"/>
    <s v="MUZSDEA ID Equity"/>
    <x v="46"/>
    <x v="3"/>
    <x v="11"/>
    <x v="0"/>
    <x v="0"/>
  </r>
  <r>
    <s v="IE00B5BHGW80"/>
    <x v="41"/>
    <n v="0"/>
    <x v="2"/>
    <x v="36"/>
    <x v="0"/>
    <x v="0"/>
    <s v="MUZSDEA ID Equity"/>
    <x v="46"/>
    <x v="3"/>
    <x v="11"/>
    <x v="0"/>
    <x v="0"/>
  </r>
  <r>
    <s v="IE00B5BHGW80"/>
    <x v="42"/>
    <n v="0"/>
    <x v="2"/>
    <x v="37"/>
    <x v="0"/>
    <x v="0"/>
    <s v="MUZSDEA ID Equity"/>
    <x v="46"/>
    <x v="3"/>
    <x v="11"/>
    <x v="0"/>
    <x v="0"/>
  </r>
  <r>
    <s v="IE00B5BHGW80"/>
    <x v="43"/>
    <n v="4"/>
    <x v="2"/>
    <x v="38"/>
    <x v="0"/>
    <x v="4"/>
    <s v="MUZSDEA ID Equity"/>
    <x v="46"/>
    <x v="3"/>
    <x v="11"/>
    <x v="0"/>
    <x v="0"/>
  </r>
  <r>
    <s v="IE00B5BHGW80"/>
    <x v="44"/>
    <n v="5"/>
    <x v="2"/>
    <x v="39"/>
    <x v="0"/>
    <x v="4"/>
    <s v="MUZSDEA ID Equity"/>
    <x v="46"/>
    <x v="3"/>
    <x v="11"/>
    <x v="0"/>
    <x v="0"/>
  </r>
  <r>
    <s v="IE00B5BHGW80"/>
    <x v="45"/>
    <n v="3"/>
    <x v="2"/>
    <x v="40"/>
    <x v="0"/>
    <x v="5"/>
    <s v="MUZSDEA ID Equity"/>
    <x v="46"/>
    <x v="3"/>
    <x v="11"/>
    <x v="0"/>
    <x v="0"/>
  </r>
  <r>
    <s v="IE00B5BHGW80"/>
    <x v="46"/>
    <n v="5"/>
    <x v="2"/>
    <x v="41"/>
    <x v="0"/>
    <x v="5"/>
    <s v="MUZSDEA ID Equity"/>
    <x v="46"/>
    <x v="3"/>
    <x v="11"/>
    <x v="0"/>
    <x v="0"/>
  </r>
  <r>
    <s v="IE00B685HQ37"/>
    <x v="47"/>
    <n v="0"/>
    <x v="2"/>
    <x v="42"/>
    <x v="2"/>
    <x v="2"/>
    <s v="MUZSDGI ID Equity"/>
    <x v="47"/>
    <x v="3"/>
    <x v="11"/>
    <x v="5"/>
    <x v="0"/>
  </r>
  <r>
    <s v="IE00B685HQ37"/>
    <x v="48"/>
    <n v="0"/>
    <x v="2"/>
    <x v="43"/>
    <x v="2"/>
    <x v="2"/>
    <s v="MUZSDGI ID Equity"/>
    <x v="47"/>
    <x v="3"/>
    <x v="11"/>
    <x v="5"/>
    <x v="0"/>
  </r>
  <r>
    <s v="IE00B685HQ37"/>
    <x v="49"/>
    <n v="0"/>
    <x v="2"/>
    <x v="44"/>
    <x v="2"/>
    <x v="0"/>
    <s v="MUZSDGI ID Equity"/>
    <x v="47"/>
    <x v="3"/>
    <x v="11"/>
    <x v="5"/>
    <x v="0"/>
  </r>
  <r>
    <s v="IE00B685HQ37"/>
    <x v="50"/>
    <n v="0"/>
    <x v="2"/>
    <x v="45"/>
    <x v="2"/>
    <x v="0"/>
    <s v="MUZSDGI ID Equity"/>
    <x v="47"/>
    <x v="3"/>
    <x v="11"/>
    <x v="5"/>
    <x v="0"/>
  </r>
  <r>
    <s v="IE00B685HQ37"/>
    <x v="51"/>
    <n v="4"/>
    <x v="2"/>
    <x v="46"/>
    <x v="2"/>
    <x v="4"/>
    <s v="MUZSDGI ID Equity"/>
    <x v="47"/>
    <x v="3"/>
    <x v="11"/>
    <x v="5"/>
    <x v="0"/>
  </r>
  <r>
    <s v="IE00B685HQ37"/>
    <x v="52"/>
    <n v="5"/>
    <x v="2"/>
    <x v="47"/>
    <x v="2"/>
    <x v="4"/>
    <s v="MUZSDGI ID Equity"/>
    <x v="47"/>
    <x v="3"/>
    <x v="11"/>
    <x v="5"/>
    <x v="0"/>
  </r>
  <r>
    <s v="IE00B685HQ37"/>
    <x v="53"/>
    <n v="3"/>
    <x v="2"/>
    <x v="48"/>
    <x v="2"/>
    <x v="5"/>
    <s v="MUZSDGI ID Equity"/>
    <x v="47"/>
    <x v="3"/>
    <x v="11"/>
    <x v="5"/>
    <x v="0"/>
  </r>
  <r>
    <s v="IE00B685HQ37"/>
    <x v="54"/>
    <n v="5"/>
    <x v="2"/>
    <x v="49"/>
    <x v="2"/>
    <x v="5"/>
    <s v="MUZSDGI ID Equity"/>
    <x v="47"/>
    <x v="3"/>
    <x v="11"/>
    <x v="5"/>
    <x v="0"/>
  </r>
  <r>
    <s v="IE00B59XD059"/>
    <x v="55"/>
    <n v="0"/>
    <x v="2"/>
    <x v="50"/>
    <x v="3"/>
    <x v="2"/>
    <s v="MUZSDUA ID Equity"/>
    <x v="45"/>
    <x v="3"/>
    <x v="11"/>
    <x v="3"/>
    <x v="0"/>
  </r>
  <r>
    <s v="IE00B59XD059"/>
    <x v="56"/>
    <n v="0"/>
    <x v="2"/>
    <x v="51"/>
    <x v="3"/>
    <x v="2"/>
    <s v="MUZSDUA ID Equity"/>
    <x v="45"/>
    <x v="3"/>
    <x v="11"/>
    <x v="3"/>
    <x v="0"/>
  </r>
  <r>
    <s v="IE00B59XD059"/>
    <x v="57"/>
    <n v="0"/>
    <x v="2"/>
    <x v="52"/>
    <x v="3"/>
    <x v="0"/>
    <s v="MUZSDUA ID Equity"/>
    <x v="45"/>
    <x v="3"/>
    <x v="11"/>
    <x v="3"/>
    <x v="0"/>
  </r>
  <r>
    <s v="IE00B59XD059"/>
    <x v="58"/>
    <n v="0"/>
    <x v="2"/>
    <x v="53"/>
    <x v="3"/>
    <x v="0"/>
    <s v="MUZSDUA ID Equity"/>
    <x v="45"/>
    <x v="3"/>
    <x v="11"/>
    <x v="3"/>
    <x v="0"/>
  </r>
  <r>
    <s v="IE00B59XD059"/>
    <x v="59"/>
    <n v="4"/>
    <x v="2"/>
    <x v="54"/>
    <x v="3"/>
    <x v="4"/>
    <s v="MUZSDUA ID Equity"/>
    <x v="45"/>
    <x v="3"/>
    <x v="11"/>
    <x v="3"/>
    <x v="0"/>
  </r>
  <r>
    <s v="IE00B59XD059"/>
    <x v="60"/>
    <n v="5"/>
    <x v="2"/>
    <x v="55"/>
    <x v="3"/>
    <x v="4"/>
    <s v="MUZSDUA ID Equity"/>
    <x v="45"/>
    <x v="3"/>
    <x v="11"/>
    <x v="3"/>
    <x v="0"/>
  </r>
  <r>
    <s v="IE00B59XD059"/>
    <x v="61"/>
    <n v="3"/>
    <x v="2"/>
    <x v="56"/>
    <x v="3"/>
    <x v="5"/>
    <s v="MUZSDUA ID Equity"/>
    <x v="45"/>
    <x v="3"/>
    <x v="11"/>
    <x v="3"/>
    <x v="0"/>
  </r>
  <r>
    <s v="IE00B59XD059"/>
    <x v="62"/>
    <n v="5"/>
    <x v="2"/>
    <x v="57"/>
    <x v="3"/>
    <x v="5"/>
    <s v="MUZSDUA ID Equity"/>
    <x v="45"/>
    <x v="3"/>
    <x v="11"/>
    <x v="3"/>
    <x v="0"/>
  </r>
  <r>
    <s v="SingleBond"/>
    <x v="31"/>
    <n v="0"/>
    <x v="2"/>
    <x v="26"/>
    <x v="1"/>
    <x v="2"/>
    <s v="SingleBond"/>
    <x v="100"/>
    <x v="3"/>
    <x v="18"/>
    <x v="0"/>
    <x v="0"/>
  </r>
  <r>
    <s v="SingleBond"/>
    <x v="32"/>
    <n v="0"/>
    <x v="2"/>
    <x v="27"/>
    <x v="1"/>
    <x v="2"/>
    <s v="SingleBond"/>
    <x v="100"/>
    <x v="3"/>
    <x v="18"/>
    <x v="0"/>
    <x v="0"/>
  </r>
  <r>
    <s v="SingleBond"/>
    <x v="33"/>
    <n v="0"/>
    <x v="2"/>
    <x v="28"/>
    <x v="1"/>
    <x v="0"/>
    <s v="SingleBond"/>
    <x v="100"/>
    <x v="3"/>
    <x v="18"/>
    <x v="0"/>
    <x v="0"/>
  </r>
  <r>
    <s v="SingleBond"/>
    <x v="34"/>
    <n v="0"/>
    <x v="2"/>
    <x v="29"/>
    <x v="1"/>
    <x v="0"/>
    <s v="SingleBond"/>
    <x v="100"/>
    <x v="3"/>
    <x v="18"/>
    <x v="0"/>
    <x v="0"/>
  </r>
  <r>
    <s v="SingleBond"/>
    <x v="35"/>
    <n v="0"/>
    <x v="2"/>
    <x v="30"/>
    <x v="1"/>
    <x v="4"/>
    <s v="SingleBond"/>
    <x v="100"/>
    <x v="3"/>
    <x v="18"/>
    <x v="0"/>
    <x v="0"/>
  </r>
  <r>
    <s v="SingleBond"/>
    <x v="36"/>
    <n v="0"/>
    <x v="2"/>
    <x v="31"/>
    <x v="1"/>
    <x v="4"/>
    <s v="SingleBond"/>
    <x v="100"/>
    <x v="3"/>
    <x v="18"/>
    <x v="0"/>
    <x v="0"/>
  </r>
  <r>
    <s v="SingleBond"/>
    <x v="37"/>
    <n v="0"/>
    <x v="2"/>
    <x v="32"/>
    <x v="1"/>
    <x v="5"/>
    <s v="SingleBond"/>
    <x v="100"/>
    <x v="3"/>
    <x v="18"/>
    <x v="0"/>
    <x v="0"/>
  </r>
  <r>
    <s v="SingleBond"/>
    <x v="38"/>
    <n v="0"/>
    <x v="2"/>
    <x v="33"/>
    <x v="1"/>
    <x v="5"/>
    <s v="SingleBond"/>
    <x v="100"/>
    <x v="3"/>
    <x v="18"/>
    <x v="0"/>
    <x v="0"/>
  </r>
  <r>
    <s v="SingleBond"/>
    <x v="39"/>
    <n v="0"/>
    <x v="2"/>
    <x v="34"/>
    <x v="0"/>
    <x v="2"/>
    <s v="SingleBond"/>
    <x v="100"/>
    <x v="3"/>
    <x v="18"/>
    <x v="0"/>
    <x v="0"/>
  </r>
  <r>
    <s v="SingleBond"/>
    <x v="40"/>
    <n v="0"/>
    <x v="2"/>
    <x v="35"/>
    <x v="0"/>
    <x v="2"/>
    <s v="SingleBond"/>
    <x v="100"/>
    <x v="3"/>
    <x v="18"/>
    <x v="0"/>
    <x v="0"/>
  </r>
  <r>
    <s v="SingleBond"/>
    <x v="41"/>
    <n v="0"/>
    <x v="2"/>
    <x v="36"/>
    <x v="0"/>
    <x v="0"/>
    <s v="SingleBond"/>
    <x v="100"/>
    <x v="3"/>
    <x v="18"/>
    <x v="0"/>
    <x v="0"/>
  </r>
  <r>
    <s v="SingleBond"/>
    <x v="42"/>
    <n v="0"/>
    <x v="2"/>
    <x v="37"/>
    <x v="0"/>
    <x v="0"/>
    <s v="SingleBond"/>
    <x v="100"/>
    <x v="3"/>
    <x v="18"/>
    <x v="0"/>
    <x v="0"/>
  </r>
  <r>
    <s v="SingleBond"/>
    <x v="43"/>
    <n v="0"/>
    <x v="2"/>
    <x v="38"/>
    <x v="0"/>
    <x v="4"/>
    <s v="SingleBond"/>
    <x v="100"/>
    <x v="3"/>
    <x v="18"/>
    <x v="0"/>
    <x v="0"/>
  </r>
  <r>
    <s v="SingleBond"/>
    <x v="44"/>
    <n v="0"/>
    <x v="2"/>
    <x v="39"/>
    <x v="0"/>
    <x v="4"/>
    <s v="SingleBond"/>
    <x v="100"/>
    <x v="3"/>
    <x v="18"/>
    <x v="0"/>
    <x v="0"/>
  </r>
  <r>
    <s v="SingleBond"/>
    <x v="45"/>
    <n v="0"/>
    <x v="2"/>
    <x v="40"/>
    <x v="0"/>
    <x v="5"/>
    <s v="SingleBond"/>
    <x v="100"/>
    <x v="3"/>
    <x v="18"/>
    <x v="0"/>
    <x v="0"/>
  </r>
  <r>
    <s v="SingleBond"/>
    <x v="46"/>
    <n v="0"/>
    <x v="2"/>
    <x v="41"/>
    <x v="0"/>
    <x v="5"/>
    <s v="SingleBond"/>
    <x v="100"/>
    <x v="3"/>
    <x v="18"/>
    <x v="0"/>
    <x v="0"/>
  </r>
  <r>
    <s v="SingleBond"/>
    <x v="47"/>
    <n v="0"/>
    <x v="2"/>
    <x v="42"/>
    <x v="2"/>
    <x v="2"/>
    <s v="SingleBond"/>
    <x v="100"/>
    <x v="3"/>
    <x v="18"/>
    <x v="5"/>
    <x v="0"/>
  </r>
  <r>
    <s v="SingleBond"/>
    <x v="48"/>
    <n v="0"/>
    <x v="2"/>
    <x v="43"/>
    <x v="2"/>
    <x v="2"/>
    <s v="SingleBond"/>
    <x v="100"/>
    <x v="3"/>
    <x v="18"/>
    <x v="5"/>
    <x v="0"/>
  </r>
  <r>
    <s v="SingleBond"/>
    <x v="49"/>
    <n v="0"/>
    <x v="2"/>
    <x v="44"/>
    <x v="2"/>
    <x v="0"/>
    <s v="SingleBond"/>
    <x v="100"/>
    <x v="3"/>
    <x v="18"/>
    <x v="5"/>
    <x v="0"/>
  </r>
  <r>
    <s v="SingleBond"/>
    <x v="50"/>
    <n v="0"/>
    <x v="2"/>
    <x v="45"/>
    <x v="2"/>
    <x v="0"/>
    <s v="SingleBond"/>
    <x v="100"/>
    <x v="3"/>
    <x v="18"/>
    <x v="5"/>
    <x v="0"/>
  </r>
  <r>
    <s v="SingleBond"/>
    <x v="51"/>
    <n v="0"/>
    <x v="2"/>
    <x v="46"/>
    <x v="2"/>
    <x v="4"/>
    <s v="SingleBond"/>
    <x v="100"/>
    <x v="3"/>
    <x v="18"/>
    <x v="5"/>
    <x v="0"/>
  </r>
  <r>
    <s v="SingleBond"/>
    <x v="52"/>
    <n v="0"/>
    <x v="2"/>
    <x v="47"/>
    <x v="2"/>
    <x v="4"/>
    <s v="SingleBond"/>
    <x v="100"/>
    <x v="3"/>
    <x v="18"/>
    <x v="5"/>
    <x v="0"/>
  </r>
  <r>
    <s v="SingleBond"/>
    <x v="53"/>
    <n v="0"/>
    <x v="2"/>
    <x v="48"/>
    <x v="2"/>
    <x v="5"/>
    <s v="SingleBond"/>
    <x v="100"/>
    <x v="3"/>
    <x v="18"/>
    <x v="5"/>
    <x v="0"/>
  </r>
  <r>
    <s v="SingleBond"/>
    <x v="54"/>
    <n v="0"/>
    <x v="2"/>
    <x v="49"/>
    <x v="2"/>
    <x v="5"/>
    <s v="SingleBond"/>
    <x v="100"/>
    <x v="3"/>
    <x v="18"/>
    <x v="5"/>
    <x v="0"/>
  </r>
  <r>
    <s v="SingleBond"/>
    <x v="55"/>
    <n v="0"/>
    <x v="2"/>
    <x v="50"/>
    <x v="3"/>
    <x v="2"/>
    <s v="SingleBond"/>
    <x v="100"/>
    <x v="3"/>
    <x v="18"/>
    <x v="0"/>
    <x v="0"/>
  </r>
  <r>
    <s v="SingleBond"/>
    <x v="56"/>
    <n v="0"/>
    <x v="2"/>
    <x v="51"/>
    <x v="3"/>
    <x v="2"/>
    <s v="SingleBond"/>
    <x v="100"/>
    <x v="3"/>
    <x v="18"/>
    <x v="0"/>
    <x v="0"/>
  </r>
  <r>
    <s v="SingleBond"/>
    <x v="57"/>
    <n v="0"/>
    <x v="2"/>
    <x v="52"/>
    <x v="3"/>
    <x v="0"/>
    <s v="SingleBond"/>
    <x v="100"/>
    <x v="3"/>
    <x v="18"/>
    <x v="0"/>
    <x v="0"/>
  </r>
  <r>
    <s v="SingleBond"/>
    <x v="58"/>
    <n v="0"/>
    <x v="2"/>
    <x v="53"/>
    <x v="3"/>
    <x v="0"/>
    <s v="SingleBond"/>
    <x v="100"/>
    <x v="3"/>
    <x v="18"/>
    <x v="0"/>
    <x v="0"/>
  </r>
  <r>
    <s v="SingleBond"/>
    <x v="59"/>
    <n v="0"/>
    <x v="2"/>
    <x v="54"/>
    <x v="3"/>
    <x v="4"/>
    <s v="SingleBond"/>
    <x v="100"/>
    <x v="3"/>
    <x v="18"/>
    <x v="0"/>
    <x v="0"/>
  </r>
  <r>
    <s v="SingleBond"/>
    <x v="60"/>
    <n v="0"/>
    <x v="2"/>
    <x v="55"/>
    <x v="3"/>
    <x v="4"/>
    <s v="SingleBond"/>
    <x v="100"/>
    <x v="3"/>
    <x v="18"/>
    <x v="0"/>
    <x v="0"/>
  </r>
  <r>
    <s v="SingleBond"/>
    <x v="61"/>
    <n v="0"/>
    <x v="2"/>
    <x v="56"/>
    <x v="3"/>
    <x v="5"/>
    <s v="SingleBond"/>
    <x v="100"/>
    <x v="3"/>
    <x v="18"/>
    <x v="0"/>
    <x v="0"/>
  </r>
  <r>
    <s v="SingleBond"/>
    <x v="62"/>
    <n v="0"/>
    <x v="2"/>
    <x v="57"/>
    <x v="3"/>
    <x v="5"/>
    <s v="SingleBond"/>
    <x v="100"/>
    <x v="3"/>
    <x v="18"/>
    <x v="0"/>
    <x v="0"/>
  </r>
  <r>
    <s v="SingleHedgeFund"/>
    <x v="31"/>
    <n v="0"/>
    <x v="2"/>
    <x v="26"/>
    <x v="1"/>
    <x v="2"/>
    <s v="SingleHedgeFund"/>
    <x v="101"/>
    <x v="1"/>
    <x v="20"/>
    <x v="2"/>
    <x v="0"/>
  </r>
  <r>
    <s v="SingleHedgeFund"/>
    <x v="32"/>
    <n v="0"/>
    <x v="2"/>
    <x v="27"/>
    <x v="1"/>
    <x v="2"/>
    <s v="SingleHedgeFund"/>
    <x v="101"/>
    <x v="1"/>
    <x v="20"/>
    <x v="2"/>
    <x v="0"/>
  </r>
  <r>
    <s v="SingleHedgeFund"/>
    <x v="33"/>
    <n v="0"/>
    <x v="2"/>
    <x v="28"/>
    <x v="1"/>
    <x v="0"/>
    <s v="SingleHedgeFund"/>
    <x v="101"/>
    <x v="1"/>
    <x v="20"/>
    <x v="2"/>
    <x v="0"/>
  </r>
  <r>
    <s v="SingleHedgeFund"/>
    <x v="34"/>
    <n v="0"/>
    <x v="2"/>
    <x v="29"/>
    <x v="1"/>
    <x v="0"/>
    <s v="SingleHedgeFund"/>
    <x v="101"/>
    <x v="1"/>
    <x v="20"/>
    <x v="2"/>
    <x v="0"/>
  </r>
  <r>
    <s v="SingleHedgeFund"/>
    <x v="35"/>
    <n v="0"/>
    <x v="2"/>
    <x v="30"/>
    <x v="1"/>
    <x v="4"/>
    <s v="SingleHedgeFund"/>
    <x v="101"/>
    <x v="1"/>
    <x v="20"/>
    <x v="2"/>
    <x v="0"/>
  </r>
  <r>
    <s v="SingleHedgeFund"/>
    <x v="36"/>
    <n v="0"/>
    <x v="2"/>
    <x v="31"/>
    <x v="1"/>
    <x v="4"/>
    <s v="SingleHedgeFund"/>
    <x v="101"/>
    <x v="1"/>
    <x v="20"/>
    <x v="2"/>
    <x v="0"/>
  </r>
  <r>
    <s v="SingleHedgeFund"/>
    <x v="37"/>
    <n v="0"/>
    <x v="2"/>
    <x v="32"/>
    <x v="1"/>
    <x v="5"/>
    <s v="SingleHedgeFund"/>
    <x v="101"/>
    <x v="1"/>
    <x v="20"/>
    <x v="2"/>
    <x v="0"/>
  </r>
  <r>
    <s v="SingleHedgeFund"/>
    <x v="38"/>
    <n v="0"/>
    <x v="2"/>
    <x v="33"/>
    <x v="1"/>
    <x v="5"/>
    <s v="SingleHedgeFund"/>
    <x v="101"/>
    <x v="1"/>
    <x v="20"/>
    <x v="2"/>
    <x v="0"/>
  </r>
  <r>
    <s v="SingleHedgeFund"/>
    <x v="39"/>
    <n v="0"/>
    <x v="2"/>
    <x v="34"/>
    <x v="0"/>
    <x v="2"/>
    <s v="SingleHedgeFund"/>
    <x v="101"/>
    <x v="1"/>
    <x v="20"/>
    <x v="0"/>
    <x v="0"/>
  </r>
  <r>
    <s v="SingleHedgeFund"/>
    <x v="40"/>
    <n v="0"/>
    <x v="2"/>
    <x v="35"/>
    <x v="0"/>
    <x v="2"/>
    <s v="SingleHedgeFund"/>
    <x v="101"/>
    <x v="1"/>
    <x v="20"/>
    <x v="0"/>
    <x v="0"/>
  </r>
  <r>
    <s v="SingleHedgeFund"/>
    <x v="41"/>
    <n v="0"/>
    <x v="2"/>
    <x v="36"/>
    <x v="0"/>
    <x v="0"/>
    <s v="SingleHedgeFund"/>
    <x v="101"/>
    <x v="1"/>
    <x v="20"/>
    <x v="0"/>
    <x v="0"/>
  </r>
  <r>
    <s v="SingleHedgeFund"/>
    <x v="42"/>
    <n v="0"/>
    <x v="2"/>
    <x v="37"/>
    <x v="0"/>
    <x v="0"/>
    <s v="SingleHedgeFund"/>
    <x v="101"/>
    <x v="1"/>
    <x v="20"/>
    <x v="0"/>
    <x v="0"/>
  </r>
  <r>
    <s v="SingleHedgeFund"/>
    <x v="43"/>
    <n v="0"/>
    <x v="2"/>
    <x v="38"/>
    <x v="0"/>
    <x v="4"/>
    <s v="SingleHedgeFund"/>
    <x v="101"/>
    <x v="1"/>
    <x v="20"/>
    <x v="0"/>
    <x v="0"/>
  </r>
  <r>
    <s v="SingleHedgeFund"/>
    <x v="44"/>
    <n v="0"/>
    <x v="2"/>
    <x v="39"/>
    <x v="0"/>
    <x v="4"/>
    <s v="SingleHedgeFund"/>
    <x v="101"/>
    <x v="1"/>
    <x v="20"/>
    <x v="0"/>
    <x v="0"/>
  </r>
  <r>
    <s v="SingleHedgeFund"/>
    <x v="45"/>
    <n v="0"/>
    <x v="2"/>
    <x v="40"/>
    <x v="0"/>
    <x v="5"/>
    <s v="SingleHedgeFund"/>
    <x v="101"/>
    <x v="1"/>
    <x v="20"/>
    <x v="0"/>
    <x v="0"/>
  </r>
  <r>
    <s v="SingleHedgeFund"/>
    <x v="46"/>
    <n v="0"/>
    <x v="2"/>
    <x v="41"/>
    <x v="0"/>
    <x v="5"/>
    <s v="SingleHedgeFund"/>
    <x v="101"/>
    <x v="1"/>
    <x v="20"/>
    <x v="0"/>
    <x v="0"/>
  </r>
  <r>
    <s v="SingleHedgeFund"/>
    <x v="47"/>
    <n v="0"/>
    <x v="2"/>
    <x v="42"/>
    <x v="2"/>
    <x v="2"/>
    <s v="SingleHedgeFund"/>
    <x v="101"/>
    <x v="1"/>
    <x v="20"/>
    <x v="5"/>
    <x v="0"/>
  </r>
  <r>
    <s v="SingleHedgeFund"/>
    <x v="48"/>
    <n v="0"/>
    <x v="2"/>
    <x v="43"/>
    <x v="2"/>
    <x v="2"/>
    <s v="SingleHedgeFund"/>
    <x v="101"/>
    <x v="1"/>
    <x v="20"/>
    <x v="5"/>
    <x v="0"/>
  </r>
  <r>
    <s v="SingleHedgeFund"/>
    <x v="49"/>
    <n v="0"/>
    <x v="2"/>
    <x v="44"/>
    <x v="2"/>
    <x v="0"/>
    <s v="SingleHedgeFund"/>
    <x v="101"/>
    <x v="1"/>
    <x v="20"/>
    <x v="5"/>
    <x v="0"/>
  </r>
  <r>
    <s v="SingleHedgeFund"/>
    <x v="50"/>
    <n v="0"/>
    <x v="2"/>
    <x v="45"/>
    <x v="2"/>
    <x v="0"/>
    <s v="SingleHedgeFund"/>
    <x v="101"/>
    <x v="1"/>
    <x v="20"/>
    <x v="5"/>
    <x v="0"/>
  </r>
  <r>
    <s v="SingleHedgeFund"/>
    <x v="51"/>
    <n v="0"/>
    <x v="2"/>
    <x v="46"/>
    <x v="2"/>
    <x v="4"/>
    <s v="SingleHedgeFund"/>
    <x v="101"/>
    <x v="1"/>
    <x v="20"/>
    <x v="5"/>
    <x v="0"/>
  </r>
  <r>
    <s v="SingleHedgeFund"/>
    <x v="52"/>
    <n v="0"/>
    <x v="2"/>
    <x v="47"/>
    <x v="2"/>
    <x v="4"/>
    <s v="SingleHedgeFund"/>
    <x v="101"/>
    <x v="1"/>
    <x v="20"/>
    <x v="5"/>
    <x v="0"/>
  </r>
  <r>
    <s v="SingleHedgeFund"/>
    <x v="53"/>
    <n v="0"/>
    <x v="2"/>
    <x v="48"/>
    <x v="2"/>
    <x v="5"/>
    <s v="SingleHedgeFund"/>
    <x v="101"/>
    <x v="1"/>
    <x v="20"/>
    <x v="5"/>
    <x v="0"/>
  </r>
  <r>
    <s v="SingleHedgeFund"/>
    <x v="54"/>
    <n v="0"/>
    <x v="2"/>
    <x v="49"/>
    <x v="2"/>
    <x v="5"/>
    <s v="SingleHedgeFund"/>
    <x v="101"/>
    <x v="1"/>
    <x v="20"/>
    <x v="5"/>
    <x v="0"/>
  </r>
  <r>
    <s v="SingleHedgeFund"/>
    <x v="55"/>
    <n v="0"/>
    <x v="2"/>
    <x v="50"/>
    <x v="3"/>
    <x v="2"/>
    <s v="SingleHedgeFund"/>
    <x v="101"/>
    <x v="1"/>
    <x v="20"/>
    <x v="3"/>
    <x v="0"/>
  </r>
  <r>
    <s v="SingleHedgeFund"/>
    <x v="56"/>
    <n v="0"/>
    <x v="2"/>
    <x v="51"/>
    <x v="3"/>
    <x v="2"/>
    <s v="SingleHedgeFund"/>
    <x v="101"/>
    <x v="1"/>
    <x v="20"/>
    <x v="3"/>
    <x v="0"/>
  </r>
  <r>
    <s v="SingleHedgeFund"/>
    <x v="57"/>
    <n v="0"/>
    <x v="2"/>
    <x v="52"/>
    <x v="3"/>
    <x v="0"/>
    <s v="SingleHedgeFund"/>
    <x v="101"/>
    <x v="1"/>
    <x v="20"/>
    <x v="3"/>
    <x v="0"/>
  </r>
  <r>
    <s v="SingleHedgeFund"/>
    <x v="58"/>
    <n v="0"/>
    <x v="2"/>
    <x v="53"/>
    <x v="3"/>
    <x v="0"/>
    <s v="SingleHedgeFund"/>
    <x v="101"/>
    <x v="1"/>
    <x v="20"/>
    <x v="3"/>
    <x v="0"/>
  </r>
  <r>
    <s v="SingleHedgeFund"/>
    <x v="59"/>
    <n v="0"/>
    <x v="2"/>
    <x v="54"/>
    <x v="3"/>
    <x v="4"/>
    <s v="SingleHedgeFund"/>
    <x v="101"/>
    <x v="1"/>
    <x v="20"/>
    <x v="3"/>
    <x v="0"/>
  </r>
  <r>
    <s v="SingleHedgeFund"/>
    <x v="60"/>
    <n v="0"/>
    <x v="2"/>
    <x v="55"/>
    <x v="3"/>
    <x v="4"/>
    <s v="SingleHedgeFund"/>
    <x v="101"/>
    <x v="1"/>
    <x v="20"/>
    <x v="3"/>
    <x v="0"/>
  </r>
  <r>
    <s v="SingleHedgeFund"/>
    <x v="61"/>
    <n v="0"/>
    <x v="2"/>
    <x v="56"/>
    <x v="3"/>
    <x v="5"/>
    <s v="SingleHedgeFund"/>
    <x v="101"/>
    <x v="1"/>
    <x v="20"/>
    <x v="3"/>
    <x v="0"/>
  </r>
  <r>
    <s v="SingleHedgeFund"/>
    <x v="62"/>
    <n v="0"/>
    <x v="2"/>
    <x v="57"/>
    <x v="3"/>
    <x v="5"/>
    <s v="SingleHedgeFund"/>
    <x v="101"/>
    <x v="1"/>
    <x v="20"/>
    <x v="3"/>
    <x v="0"/>
  </r>
  <r>
    <s v="SingleStock"/>
    <x v="31"/>
    <n v="0"/>
    <x v="2"/>
    <x v="26"/>
    <x v="1"/>
    <x v="2"/>
    <s v="SingleStock"/>
    <x v="102"/>
    <x v="0"/>
    <x v="0"/>
    <x v="2"/>
    <x v="0"/>
  </r>
  <r>
    <s v="SingleStock"/>
    <x v="32"/>
    <n v="0"/>
    <x v="2"/>
    <x v="27"/>
    <x v="1"/>
    <x v="2"/>
    <s v="SingleStock"/>
    <x v="102"/>
    <x v="0"/>
    <x v="0"/>
    <x v="2"/>
    <x v="0"/>
  </r>
  <r>
    <s v="SingleStock"/>
    <x v="33"/>
    <n v="0"/>
    <x v="2"/>
    <x v="28"/>
    <x v="1"/>
    <x v="0"/>
    <s v="SingleStock"/>
    <x v="102"/>
    <x v="0"/>
    <x v="0"/>
    <x v="2"/>
    <x v="0"/>
  </r>
  <r>
    <s v="SingleStock"/>
    <x v="34"/>
    <n v="0"/>
    <x v="2"/>
    <x v="29"/>
    <x v="1"/>
    <x v="0"/>
    <s v="SingleStock"/>
    <x v="102"/>
    <x v="0"/>
    <x v="0"/>
    <x v="2"/>
    <x v="0"/>
  </r>
  <r>
    <s v="SingleStock"/>
    <x v="35"/>
    <n v="0"/>
    <x v="2"/>
    <x v="30"/>
    <x v="1"/>
    <x v="4"/>
    <s v="SingleStock"/>
    <x v="102"/>
    <x v="0"/>
    <x v="0"/>
    <x v="2"/>
    <x v="0"/>
  </r>
  <r>
    <s v="SingleStock"/>
    <x v="36"/>
    <n v="0"/>
    <x v="2"/>
    <x v="31"/>
    <x v="1"/>
    <x v="4"/>
    <s v="SingleStock"/>
    <x v="102"/>
    <x v="0"/>
    <x v="0"/>
    <x v="2"/>
    <x v="0"/>
  </r>
  <r>
    <s v="SingleStock"/>
    <x v="37"/>
    <n v="0"/>
    <x v="2"/>
    <x v="32"/>
    <x v="1"/>
    <x v="5"/>
    <s v="SingleStock"/>
    <x v="102"/>
    <x v="0"/>
    <x v="0"/>
    <x v="2"/>
    <x v="0"/>
  </r>
  <r>
    <s v="SingleStock"/>
    <x v="38"/>
    <n v="0"/>
    <x v="2"/>
    <x v="33"/>
    <x v="1"/>
    <x v="5"/>
    <s v="SingleStock"/>
    <x v="102"/>
    <x v="0"/>
    <x v="0"/>
    <x v="2"/>
    <x v="0"/>
  </r>
  <r>
    <s v="SingleStock"/>
    <x v="39"/>
    <n v="0"/>
    <x v="2"/>
    <x v="34"/>
    <x v="0"/>
    <x v="2"/>
    <s v="SingleStock"/>
    <x v="102"/>
    <x v="0"/>
    <x v="0"/>
    <x v="0"/>
    <x v="0"/>
  </r>
  <r>
    <s v="SingleStock"/>
    <x v="40"/>
    <n v="0"/>
    <x v="2"/>
    <x v="35"/>
    <x v="0"/>
    <x v="2"/>
    <s v="SingleStock"/>
    <x v="102"/>
    <x v="0"/>
    <x v="0"/>
    <x v="0"/>
    <x v="0"/>
  </r>
  <r>
    <s v="SingleStock"/>
    <x v="41"/>
    <n v="0"/>
    <x v="2"/>
    <x v="36"/>
    <x v="0"/>
    <x v="0"/>
    <s v="SingleStock"/>
    <x v="102"/>
    <x v="0"/>
    <x v="0"/>
    <x v="0"/>
    <x v="0"/>
  </r>
  <r>
    <s v="SingleStock"/>
    <x v="42"/>
    <n v="0"/>
    <x v="2"/>
    <x v="37"/>
    <x v="0"/>
    <x v="0"/>
    <s v="SingleStock"/>
    <x v="102"/>
    <x v="0"/>
    <x v="0"/>
    <x v="0"/>
    <x v="0"/>
  </r>
  <r>
    <s v="SingleStock"/>
    <x v="43"/>
    <n v="0"/>
    <x v="2"/>
    <x v="38"/>
    <x v="0"/>
    <x v="4"/>
    <s v="SingleStock"/>
    <x v="102"/>
    <x v="0"/>
    <x v="0"/>
    <x v="0"/>
    <x v="0"/>
  </r>
  <r>
    <s v="SingleStock"/>
    <x v="44"/>
    <n v="0"/>
    <x v="2"/>
    <x v="39"/>
    <x v="0"/>
    <x v="4"/>
    <s v="SingleStock"/>
    <x v="102"/>
    <x v="0"/>
    <x v="0"/>
    <x v="0"/>
    <x v="0"/>
  </r>
  <r>
    <s v="SingleStock"/>
    <x v="45"/>
    <n v="0"/>
    <x v="2"/>
    <x v="40"/>
    <x v="0"/>
    <x v="5"/>
    <s v="SingleStock"/>
    <x v="102"/>
    <x v="0"/>
    <x v="0"/>
    <x v="0"/>
    <x v="0"/>
  </r>
  <r>
    <s v="SingleStock"/>
    <x v="46"/>
    <n v="0"/>
    <x v="2"/>
    <x v="41"/>
    <x v="0"/>
    <x v="5"/>
    <s v="SingleStock"/>
    <x v="102"/>
    <x v="0"/>
    <x v="0"/>
    <x v="0"/>
    <x v="0"/>
  </r>
  <r>
    <s v="SingleStock"/>
    <x v="47"/>
    <n v="0"/>
    <x v="2"/>
    <x v="42"/>
    <x v="2"/>
    <x v="2"/>
    <s v="SingleStock"/>
    <x v="102"/>
    <x v="0"/>
    <x v="0"/>
    <x v="5"/>
    <x v="0"/>
  </r>
  <r>
    <s v="SingleStock"/>
    <x v="48"/>
    <n v="0"/>
    <x v="2"/>
    <x v="43"/>
    <x v="2"/>
    <x v="2"/>
    <s v="SingleStock"/>
    <x v="102"/>
    <x v="0"/>
    <x v="0"/>
    <x v="5"/>
    <x v="0"/>
  </r>
  <r>
    <s v="SingleStock"/>
    <x v="49"/>
    <n v="0"/>
    <x v="2"/>
    <x v="44"/>
    <x v="2"/>
    <x v="0"/>
    <s v="SingleStock"/>
    <x v="102"/>
    <x v="0"/>
    <x v="0"/>
    <x v="5"/>
    <x v="0"/>
  </r>
  <r>
    <s v="SingleStock"/>
    <x v="50"/>
    <n v="0"/>
    <x v="2"/>
    <x v="45"/>
    <x v="2"/>
    <x v="0"/>
    <s v="SingleStock"/>
    <x v="102"/>
    <x v="0"/>
    <x v="0"/>
    <x v="5"/>
    <x v="0"/>
  </r>
  <r>
    <s v="SingleStock"/>
    <x v="51"/>
    <n v="0"/>
    <x v="2"/>
    <x v="46"/>
    <x v="2"/>
    <x v="4"/>
    <s v="SingleStock"/>
    <x v="102"/>
    <x v="0"/>
    <x v="0"/>
    <x v="5"/>
    <x v="0"/>
  </r>
  <r>
    <s v="SingleStock"/>
    <x v="52"/>
    <n v="0"/>
    <x v="2"/>
    <x v="47"/>
    <x v="2"/>
    <x v="4"/>
    <s v="SingleStock"/>
    <x v="102"/>
    <x v="0"/>
    <x v="0"/>
    <x v="5"/>
    <x v="0"/>
  </r>
  <r>
    <s v="SingleStock"/>
    <x v="53"/>
    <n v="0"/>
    <x v="2"/>
    <x v="48"/>
    <x v="2"/>
    <x v="5"/>
    <s v="SingleStock"/>
    <x v="102"/>
    <x v="0"/>
    <x v="0"/>
    <x v="5"/>
    <x v="0"/>
  </r>
  <r>
    <s v="SingleStock"/>
    <x v="54"/>
    <n v="0"/>
    <x v="2"/>
    <x v="49"/>
    <x v="2"/>
    <x v="5"/>
    <s v="SingleStock"/>
    <x v="102"/>
    <x v="0"/>
    <x v="0"/>
    <x v="5"/>
    <x v="0"/>
  </r>
  <r>
    <s v="SingleStock"/>
    <x v="55"/>
    <n v="0"/>
    <x v="2"/>
    <x v="50"/>
    <x v="3"/>
    <x v="2"/>
    <s v="SingleStock"/>
    <x v="102"/>
    <x v="0"/>
    <x v="0"/>
    <x v="3"/>
    <x v="0"/>
  </r>
  <r>
    <s v="SingleStock"/>
    <x v="56"/>
    <n v="0"/>
    <x v="2"/>
    <x v="51"/>
    <x v="3"/>
    <x v="2"/>
    <s v="SingleStock"/>
    <x v="102"/>
    <x v="0"/>
    <x v="0"/>
    <x v="3"/>
    <x v="0"/>
  </r>
  <r>
    <s v="SingleStock"/>
    <x v="57"/>
    <n v="0"/>
    <x v="2"/>
    <x v="52"/>
    <x v="3"/>
    <x v="0"/>
    <s v="SingleStock"/>
    <x v="102"/>
    <x v="0"/>
    <x v="0"/>
    <x v="3"/>
    <x v="0"/>
  </r>
  <r>
    <s v="SingleStock"/>
    <x v="58"/>
    <n v="0"/>
    <x v="2"/>
    <x v="53"/>
    <x v="3"/>
    <x v="0"/>
    <s v="SingleStock"/>
    <x v="102"/>
    <x v="0"/>
    <x v="0"/>
    <x v="3"/>
    <x v="0"/>
  </r>
  <r>
    <s v="SingleStock"/>
    <x v="59"/>
    <n v="0"/>
    <x v="2"/>
    <x v="54"/>
    <x v="3"/>
    <x v="4"/>
    <s v="SingleStock"/>
    <x v="102"/>
    <x v="0"/>
    <x v="0"/>
    <x v="3"/>
    <x v="0"/>
  </r>
  <r>
    <s v="SingleStock"/>
    <x v="60"/>
    <n v="0"/>
    <x v="2"/>
    <x v="55"/>
    <x v="3"/>
    <x v="4"/>
    <s v="SingleStock"/>
    <x v="102"/>
    <x v="0"/>
    <x v="0"/>
    <x v="3"/>
    <x v="0"/>
  </r>
  <r>
    <s v="SingleStock"/>
    <x v="61"/>
    <n v="0"/>
    <x v="2"/>
    <x v="56"/>
    <x v="3"/>
    <x v="5"/>
    <s v="SingleStock"/>
    <x v="102"/>
    <x v="0"/>
    <x v="0"/>
    <x v="3"/>
    <x v="0"/>
  </r>
  <r>
    <s v="SingleStock"/>
    <x v="62"/>
    <n v="0"/>
    <x v="2"/>
    <x v="57"/>
    <x v="3"/>
    <x v="5"/>
    <s v="SingleStock"/>
    <x v="102"/>
    <x v="0"/>
    <x v="0"/>
    <x v="3"/>
    <x v="0"/>
  </r>
  <r>
    <s v="IE00BZ6VNS04"/>
    <x v="31"/>
    <n v="3"/>
    <x v="2"/>
    <x v="26"/>
    <x v="1"/>
    <x v="2"/>
    <s v="TBWLSIE ID Equity"/>
    <x v="55"/>
    <x v="1"/>
    <x v="5"/>
    <x v="0"/>
    <x v="0"/>
  </r>
  <r>
    <s v="IE00BZ6VNS04"/>
    <x v="32"/>
    <n v="3"/>
    <x v="2"/>
    <x v="27"/>
    <x v="1"/>
    <x v="2"/>
    <s v="TBWLSIE ID Equity"/>
    <x v="55"/>
    <x v="1"/>
    <x v="5"/>
    <x v="0"/>
    <x v="0"/>
  </r>
  <r>
    <s v="IE00BZ6VNS04"/>
    <x v="33"/>
    <n v="2"/>
    <x v="2"/>
    <x v="28"/>
    <x v="1"/>
    <x v="0"/>
    <s v="TBWLSIE ID Equity"/>
    <x v="55"/>
    <x v="1"/>
    <x v="5"/>
    <x v="0"/>
    <x v="0"/>
  </r>
  <r>
    <s v="IE00BZ6VNS04"/>
    <x v="34"/>
    <n v="3"/>
    <x v="2"/>
    <x v="29"/>
    <x v="1"/>
    <x v="0"/>
    <s v="TBWLSIE ID Equity"/>
    <x v="55"/>
    <x v="1"/>
    <x v="5"/>
    <x v="0"/>
    <x v="0"/>
  </r>
  <r>
    <s v="IE00BZ6VNS04"/>
    <x v="35"/>
    <n v="3"/>
    <x v="2"/>
    <x v="30"/>
    <x v="1"/>
    <x v="4"/>
    <s v="TBWLSIE ID Equity"/>
    <x v="55"/>
    <x v="1"/>
    <x v="5"/>
    <x v="0"/>
    <x v="0"/>
  </r>
  <r>
    <s v="IE00BZ6VNS04"/>
    <x v="36"/>
    <n v="3"/>
    <x v="2"/>
    <x v="31"/>
    <x v="1"/>
    <x v="4"/>
    <s v="TBWLSIE ID Equity"/>
    <x v="55"/>
    <x v="1"/>
    <x v="5"/>
    <x v="0"/>
    <x v="0"/>
  </r>
  <r>
    <s v="IE00BZ6VNS04"/>
    <x v="37"/>
    <n v="2"/>
    <x v="2"/>
    <x v="32"/>
    <x v="1"/>
    <x v="5"/>
    <s v="TBWLSIE ID Equity"/>
    <x v="55"/>
    <x v="1"/>
    <x v="5"/>
    <x v="0"/>
    <x v="0"/>
  </r>
  <r>
    <s v="IE00BZ6VNS04"/>
    <x v="38"/>
    <n v="4"/>
    <x v="2"/>
    <x v="33"/>
    <x v="1"/>
    <x v="5"/>
    <s v="TBWLSIE ID Equity"/>
    <x v="55"/>
    <x v="1"/>
    <x v="5"/>
    <x v="0"/>
    <x v="0"/>
  </r>
  <r>
    <s v="IE00BZ6VNS04"/>
    <x v="39"/>
    <n v="3"/>
    <x v="2"/>
    <x v="34"/>
    <x v="0"/>
    <x v="2"/>
    <s v="TBWLSIE ID Equity"/>
    <x v="55"/>
    <x v="1"/>
    <x v="5"/>
    <x v="0"/>
    <x v="0"/>
  </r>
  <r>
    <s v="IE00BZ6VNS04"/>
    <x v="40"/>
    <n v="3"/>
    <x v="2"/>
    <x v="35"/>
    <x v="0"/>
    <x v="2"/>
    <s v="TBWLSIE ID Equity"/>
    <x v="55"/>
    <x v="1"/>
    <x v="5"/>
    <x v="0"/>
    <x v="0"/>
  </r>
  <r>
    <s v="IE00BZ6VNS04"/>
    <x v="41"/>
    <n v="2"/>
    <x v="2"/>
    <x v="36"/>
    <x v="0"/>
    <x v="0"/>
    <s v="TBWLSIE ID Equity"/>
    <x v="55"/>
    <x v="1"/>
    <x v="5"/>
    <x v="0"/>
    <x v="0"/>
  </r>
  <r>
    <s v="IE00BZ6VNS04"/>
    <x v="42"/>
    <n v="3"/>
    <x v="2"/>
    <x v="37"/>
    <x v="0"/>
    <x v="0"/>
    <s v="TBWLSIE ID Equity"/>
    <x v="55"/>
    <x v="1"/>
    <x v="5"/>
    <x v="0"/>
    <x v="0"/>
  </r>
  <r>
    <s v="IE00BZ6VNS04"/>
    <x v="43"/>
    <n v="3"/>
    <x v="2"/>
    <x v="38"/>
    <x v="0"/>
    <x v="4"/>
    <s v="TBWLSIE ID Equity"/>
    <x v="55"/>
    <x v="1"/>
    <x v="5"/>
    <x v="0"/>
    <x v="0"/>
  </r>
  <r>
    <s v="IE00BZ6VNS04"/>
    <x v="44"/>
    <n v="3"/>
    <x v="2"/>
    <x v="39"/>
    <x v="0"/>
    <x v="4"/>
    <s v="TBWLSIE ID Equity"/>
    <x v="55"/>
    <x v="1"/>
    <x v="5"/>
    <x v="0"/>
    <x v="0"/>
  </r>
  <r>
    <s v="IE00BZ6VNS04"/>
    <x v="45"/>
    <n v="2"/>
    <x v="2"/>
    <x v="40"/>
    <x v="0"/>
    <x v="5"/>
    <s v="TBWLSIE ID Equity"/>
    <x v="55"/>
    <x v="1"/>
    <x v="5"/>
    <x v="0"/>
    <x v="0"/>
  </r>
  <r>
    <s v="IE00BZ6VNS04"/>
    <x v="46"/>
    <n v="4"/>
    <x v="2"/>
    <x v="41"/>
    <x v="0"/>
    <x v="5"/>
    <s v="TBWLSIE ID Equity"/>
    <x v="55"/>
    <x v="1"/>
    <x v="5"/>
    <x v="0"/>
    <x v="0"/>
  </r>
  <r>
    <s v="IE00BZ6VNS04"/>
    <x v="47"/>
    <n v="3"/>
    <x v="2"/>
    <x v="42"/>
    <x v="2"/>
    <x v="2"/>
    <s v="TBWLSIE ID Equity"/>
    <x v="55"/>
    <x v="1"/>
    <x v="5"/>
    <x v="0"/>
    <x v="0"/>
  </r>
  <r>
    <s v="IE00BZ6VNS04"/>
    <x v="48"/>
    <n v="3"/>
    <x v="2"/>
    <x v="43"/>
    <x v="2"/>
    <x v="2"/>
    <s v="TBWLSIE ID Equity"/>
    <x v="55"/>
    <x v="1"/>
    <x v="5"/>
    <x v="0"/>
    <x v="0"/>
  </r>
  <r>
    <s v="IE00BZ6VNS04"/>
    <x v="49"/>
    <n v="2"/>
    <x v="2"/>
    <x v="44"/>
    <x v="2"/>
    <x v="0"/>
    <s v="TBWLSIE ID Equity"/>
    <x v="55"/>
    <x v="1"/>
    <x v="5"/>
    <x v="0"/>
    <x v="0"/>
  </r>
  <r>
    <s v="IE00BZ6VNS04"/>
    <x v="50"/>
    <n v="3"/>
    <x v="2"/>
    <x v="45"/>
    <x v="2"/>
    <x v="0"/>
    <s v="TBWLSIE ID Equity"/>
    <x v="55"/>
    <x v="1"/>
    <x v="5"/>
    <x v="0"/>
    <x v="0"/>
  </r>
  <r>
    <s v="IE00BZ6VNS04"/>
    <x v="51"/>
    <n v="3"/>
    <x v="2"/>
    <x v="46"/>
    <x v="2"/>
    <x v="4"/>
    <s v="TBWLSIE ID Equity"/>
    <x v="55"/>
    <x v="1"/>
    <x v="5"/>
    <x v="0"/>
    <x v="0"/>
  </r>
  <r>
    <s v="IE00BZ6VNS04"/>
    <x v="52"/>
    <n v="3"/>
    <x v="2"/>
    <x v="47"/>
    <x v="2"/>
    <x v="4"/>
    <s v="TBWLSIE ID Equity"/>
    <x v="55"/>
    <x v="1"/>
    <x v="5"/>
    <x v="0"/>
    <x v="0"/>
  </r>
  <r>
    <s v="IE00BZ6VNS04"/>
    <x v="53"/>
    <n v="2"/>
    <x v="2"/>
    <x v="48"/>
    <x v="2"/>
    <x v="5"/>
    <s v="TBWLSIE ID Equity"/>
    <x v="55"/>
    <x v="1"/>
    <x v="5"/>
    <x v="0"/>
    <x v="0"/>
  </r>
  <r>
    <s v="IE00BZ6VNS04"/>
    <x v="54"/>
    <n v="4"/>
    <x v="2"/>
    <x v="49"/>
    <x v="2"/>
    <x v="5"/>
    <s v="TBWLSIE ID Equity"/>
    <x v="55"/>
    <x v="1"/>
    <x v="5"/>
    <x v="0"/>
    <x v="0"/>
  </r>
  <r>
    <s v="IE00BZ6VNS04"/>
    <x v="55"/>
    <n v="3"/>
    <x v="2"/>
    <x v="50"/>
    <x v="3"/>
    <x v="2"/>
    <s v="TBWLSIE ID Equity"/>
    <x v="55"/>
    <x v="1"/>
    <x v="5"/>
    <x v="0"/>
    <x v="0"/>
  </r>
  <r>
    <s v="IE00BZ6VNS04"/>
    <x v="56"/>
    <n v="3"/>
    <x v="2"/>
    <x v="51"/>
    <x v="3"/>
    <x v="2"/>
    <s v="TBWLSIE ID Equity"/>
    <x v="55"/>
    <x v="1"/>
    <x v="5"/>
    <x v="0"/>
    <x v="0"/>
  </r>
  <r>
    <s v="IE00BZ6VNS04"/>
    <x v="57"/>
    <n v="2"/>
    <x v="2"/>
    <x v="52"/>
    <x v="3"/>
    <x v="0"/>
    <s v="TBWLSIE ID Equity"/>
    <x v="55"/>
    <x v="1"/>
    <x v="5"/>
    <x v="0"/>
    <x v="0"/>
  </r>
  <r>
    <s v="IE00BZ6VNS04"/>
    <x v="58"/>
    <n v="3"/>
    <x v="2"/>
    <x v="53"/>
    <x v="3"/>
    <x v="0"/>
    <s v="TBWLSIE ID Equity"/>
    <x v="55"/>
    <x v="1"/>
    <x v="5"/>
    <x v="0"/>
    <x v="0"/>
  </r>
  <r>
    <s v="IE00BZ6VNS04"/>
    <x v="59"/>
    <n v="3"/>
    <x v="2"/>
    <x v="54"/>
    <x v="3"/>
    <x v="4"/>
    <s v="TBWLSIE ID Equity"/>
    <x v="55"/>
    <x v="1"/>
    <x v="5"/>
    <x v="0"/>
    <x v="0"/>
  </r>
  <r>
    <s v="IE00BZ6VNS04"/>
    <x v="60"/>
    <n v="3"/>
    <x v="2"/>
    <x v="55"/>
    <x v="3"/>
    <x v="4"/>
    <s v="TBWLSIE ID Equity"/>
    <x v="55"/>
    <x v="1"/>
    <x v="5"/>
    <x v="0"/>
    <x v="0"/>
  </r>
  <r>
    <s v="IE00BZ6VNS04"/>
    <x v="61"/>
    <n v="2"/>
    <x v="2"/>
    <x v="56"/>
    <x v="3"/>
    <x v="5"/>
    <s v="TBWLSIE ID Equity"/>
    <x v="55"/>
    <x v="1"/>
    <x v="5"/>
    <x v="0"/>
    <x v="0"/>
  </r>
  <r>
    <s v="IE00BZ6VNS04"/>
    <x v="62"/>
    <n v="4"/>
    <x v="2"/>
    <x v="57"/>
    <x v="3"/>
    <x v="5"/>
    <s v="TBWLSIE ID Equity"/>
    <x v="55"/>
    <x v="1"/>
    <x v="5"/>
    <x v="0"/>
    <x v="0"/>
  </r>
  <r>
    <s v="LU1628003706"/>
    <x v="31"/>
    <n v="4"/>
    <x v="2"/>
    <x v="26"/>
    <x v="1"/>
    <x v="2"/>
    <s v="TFCFI1E LX Equity"/>
    <x v="60"/>
    <x v="1"/>
    <x v="12"/>
    <x v="0"/>
    <x v="0"/>
  </r>
  <r>
    <s v="LU1628003706"/>
    <x v="32"/>
    <n v="5"/>
    <x v="2"/>
    <x v="27"/>
    <x v="1"/>
    <x v="2"/>
    <s v="TFCFI1E LX Equity"/>
    <x v="60"/>
    <x v="1"/>
    <x v="12"/>
    <x v="0"/>
    <x v="0"/>
  </r>
  <r>
    <s v="LU1628003706"/>
    <x v="33"/>
    <n v="4"/>
    <x v="2"/>
    <x v="28"/>
    <x v="1"/>
    <x v="0"/>
    <s v="TFCFI1E LX Equity"/>
    <x v="60"/>
    <x v="1"/>
    <x v="12"/>
    <x v="0"/>
    <x v="0"/>
  </r>
  <r>
    <s v="LU1628003706"/>
    <x v="34"/>
    <n v="4"/>
    <x v="2"/>
    <x v="29"/>
    <x v="1"/>
    <x v="0"/>
    <s v="TFCFI1E LX Equity"/>
    <x v="60"/>
    <x v="1"/>
    <x v="12"/>
    <x v="0"/>
    <x v="0"/>
  </r>
  <r>
    <s v="LU1628003706"/>
    <x v="35"/>
    <n v="3"/>
    <x v="2"/>
    <x v="30"/>
    <x v="1"/>
    <x v="4"/>
    <s v="TFCFI1E LX Equity"/>
    <x v="60"/>
    <x v="1"/>
    <x v="12"/>
    <x v="0"/>
    <x v="0"/>
  </r>
  <r>
    <s v="LU1628003706"/>
    <x v="36"/>
    <n v="3"/>
    <x v="2"/>
    <x v="31"/>
    <x v="1"/>
    <x v="4"/>
    <s v="TFCFI1E LX Equity"/>
    <x v="60"/>
    <x v="1"/>
    <x v="12"/>
    <x v="0"/>
    <x v="0"/>
  </r>
  <r>
    <s v="LU1628003706"/>
    <x v="37"/>
    <n v="0"/>
    <x v="2"/>
    <x v="32"/>
    <x v="1"/>
    <x v="5"/>
    <s v="TFCFI1E LX Equity"/>
    <x v="60"/>
    <x v="1"/>
    <x v="12"/>
    <x v="0"/>
    <x v="0"/>
  </r>
  <r>
    <s v="LU1628003706"/>
    <x v="38"/>
    <n v="0"/>
    <x v="2"/>
    <x v="33"/>
    <x v="1"/>
    <x v="5"/>
    <s v="TFCFI1E LX Equity"/>
    <x v="60"/>
    <x v="1"/>
    <x v="12"/>
    <x v="0"/>
    <x v="0"/>
  </r>
  <r>
    <s v="LU1628003706"/>
    <x v="39"/>
    <n v="4"/>
    <x v="2"/>
    <x v="34"/>
    <x v="0"/>
    <x v="2"/>
    <s v="TFCFI1E LX Equity"/>
    <x v="60"/>
    <x v="1"/>
    <x v="12"/>
    <x v="0"/>
    <x v="0"/>
  </r>
  <r>
    <s v="LU1628003706"/>
    <x v="40"/>
    <n v="5"/>
    <x v="2"/>
    <x v="35"/>
    <x v="0"/>
    <x v="2"/>
    <s v="TFCFI1E LX Equity"/>
    <x v="60"/>
    <x v="1"/>
    <x v="12"/>
    <x v="0"/>
    <x v="0"/>
  </r>
  <r>
    <s v="LU1628003706"/>
    <x v="41"/>
    <n v="4"/>
    <x v="2"/>
    <x v="36"/>
    <x v="0"/>
    <x v="0"/>
    <s v="TFCFI1E LX Equity"/>
    <x v="60"/>
    <x v="1"/>
    <x v="12"/>
    <x v="0"/>
    <x v="0"/>
  </r>
  <r>
    <s v="LU1628003706"/>
    <x v="42"/>
    <n v="4"/>
    <x v="2"/>
    <x v="37"/>
    <x v="0"/>
    <x v="0"/>
    <s v="TFCFI1E LX Equity"/>
    <x v="60"/>
    <x v="1"/>
    <x v="12"/>
    <x v="0"/>
    <x v="0"/>
  </r>
  <r>
    <s v="LU1628003706"/>
    <x v="43"/>
    <n v="3"/>
    <x v="2"/>
    <x v="38"/>
    <x v="0"/>
    <x v="4"/>
    <s v="TFCFI1E LX Equity"/>
    <x v="60"/>
    <x v="1"/>
    <x v="12"/>
    <x v="0"/>
    <x v="0"/>
  </r>
  <r>
    <s v="LU1628003706"/>
    <x v="44"/>
    <n v="3"/>
    <x v="2"/>
    <x v="39"/>
    <x v="0"/>
    <x v="4"/>
    <s v="TFCFI1E LX Equity"/>
    <x v="60"/>
    <x v="1"/>
    <x v="12"/>
    <x v="0"/>
    <x v="0"/>
  </r>
  <r>
    <s v="LU1628003706"/>
    <x v="45"/>
    <n v="0"/>
    <x v="2"/>
    <x v="40"/>
    <x v="0"/>
    <x v="5"/>
    <s v="TFCFI1E LX Equity"/>
    <x v="60"/>
    <x v="1"/>
    <x v="12"/>
    <x v="0"/>
    <x v="0"/>
  </r>
  <r>
    <s v="LU1628003706"/>
    <x v="46"/>
    <n v="0"/>
    <x v="2"/>
    <x v="41"/>
    <x v="0"/>
    <x v="5"/>
    <s v="TFCFI1E LX Equity"/>
    <x v="60"/>
    <x v="1"/>
    <x v="12"/>
    <x v="0"/>
    <x v="0"/>
  </r>
  <r>
    <s v="LU1628004001"/>
    <x v="47"/>
    <n v="4"/>
    <x v="2"/>
    <x v="42"/>
    <x v="2"/>
    <x v="2"/>
    <s v="TFCFI1U LX Equity"/>
    <x v="61"/>
    <x v="1"/>
    <x v="12"/>
    <x v="0"/>
    <x v="0"/>
  </r>
  <r>
    <s v="LU1628004001"/>
    <x v="48"/>
    <n v="5"/>
    <x v="2"/>
    <x v="43"/>
    <x v="2"/>
    <x v="2"/>
    <s v="TFCFI1U LX Equity"/>
    <x v="61"/>
    <x v="1"/>
    <x v="12"/>
    <x v="0"/>
    <x v="0"/>
  </r>
  <r>
    <s v="LU1628004001"/>
    <x v="49"/>
    <n v="4"/>
    <x v="2"/>
    <x v="44"/>
    <x v="2"/>
    <x v="0"/>
    <s v="TFCFI1U LX Equity"/>
    <x v="61"/>
    <x v="1"/>
    <x v="12"/>
    <x v="0"/>
    <x v="0"/>
  </r>
  <r>
    <s v="LU1628004001"/>
    <x v="50"/>
    <n v="4"/>
    <x v="2"/>
    <x v="45"/>
    <x v="2"/>
    <x v="0"/>
    <s v="TFCFI1U LX Equity"/>
    <x v="61"/>
    <x v="1"/>
    <x v="12"/>
    <x v="0"/>
    <x v="0"/>
  </r>
  <r>
    <s v="LU1628004001"/>
    <x v="51"/>
    <n v="3"/>
    <x v="2"/>
    <x v="46"/>
    <x v="2"/>
    <x v="4"/>
    <s v="TFCFI1U LX Equity"/>
    <x v="61"/>
    <x v="1"/>
    <x v="12"/>
    <x v="0"/>
    <x v="0"/>
  </r>
  <r>
    <s v="LU1628004001"/>
    <x v="52"/>
    <n v="3"/>
    <x v="2"/>
    <x v="47"/>
    <x v="2"/>
    <x v="4"/>
    <s v="TFCFI1U LX Equity"/>
    <x v="61"/>
    <x v="1"/>
    <x v="12"/>
    <x v="0"/>
    <x v="0"/>
  </r>
  <r>
    <s v="LU1628004001"/>
    <x v="53"/>
    <n v="0"/>
    <x v="2"/>
    <x v="48"/>
    <x v="2"/>
    <x v="5"/>
    <s v="TFCFI1U LX Equity"/>
    <x v="61"/>
    <x v="1"/>
    <x v="12"/>
    <x v="0"/>
    <x v="0"/>
  </r>
  <r>
    <s v="LU1628004001"/>
    <x v="54"/>
    <n v="0"/>
    <x v="2"/>
    <x v="49"/>
    <x v="2"/>
    <x v="5"/>
    <s v="TFCFI1U LX Equity"/>
    <x v="61"/>
    <x v="1"/>
    <x v="12"/>
    <x v="0"/>
    <x v="0"/>
  </r>
  <r>
    <s v="LU1628004001"/>
    <x v="55"/>
    <n v="4"/>
    <x v="2"/>
    <x v="50"/>
    <x v="3"/>
    <x v="2"/>
    <s v="TFCFI1U LX Equity"/>
    <x v="61"/>
    <x v="1"/>
    <x v="12"/>
    <x v="3"/>
    <x v="0"/>
  </r>
  <r>
    <s v="LU1628004001"/>
    <x v="56"/>
    <n v="5"/>
    <x v="2"/>
    <x v="51"/>
    <x v="3"/>
    <x v="2"/>
    <s v="TFCFI1U LX Equity"/>
    <x v="61"/>
    <x v="1"/>
    <x v="12"/>
    <x v="3"/>
    <x v="0"/>
  </r>
  <r>
    <s v="LU1628004001"/>
    <x v="57"/>
    <n v="4"/>
    <x v="2"/>
    <x v="52"/>
    <x v="3"/>
    <x v="0"/>
    <s v="TFCFI1U LX Equity"/>
    <x v="61"/>
    <x v="1"/>
    <x v="12"/>
    <x v="3"/>
    <x v="0"/>
  </r>
  <r>
    <s v="LU1628004001"/>
    <x v="58"/>
    <n v="4"/>
    <x v="2"/>
    <x v="53"/>
    <x v="3"/>
    <x v="0"/>
    <s v="TFCFI1U LX Equity"/>
    <x v="61"/>
    <x v="1"/>
    <x v="12"/>
    <x v="3"/>
    <x v="0"/>
  </r>
  <r>
    <s v="LU1628004001"/>
    <x v="59"/>
    <n v="3"/>
    <x v="2"/>
    <x v="54"/>
    <x v="3"/>
    <x v="4"/>
    <s v="TFCFI1U LX Equity"/>
    <x v="61"/>
    <x v="1"/>
    <x v="12"/>
    <x v="3"/>
    <x v="0"/>
  </r>
  <r>
    <s v="LU1628004001"/>
    <x v="60"/>
    <n v="3"/>
    <x v="2"/>
    <x v="55"/>
    <x v="3"/>
    <x v="4"/>
    <s v="TFCFI1U LX Equity"/>
    <x v="61"/>
    <x v="1"/>
    <x v="12"/>
    <x v="3"/>
    <x v="0"/>
  </r>
  <r>
    <s v="LU1628004001"/>
    <x v="61"/>
    <n v="0"/>
    <x v="2"/>
    <x v="56"/>
    <x v="3"/>
    <x v="5"/>
    <s v="TFCFI1U LX Equity"/>
    <x v="61"/>
    <x v="1"/>
    <x v="12"/>
    <x v="3"/>
    <x v="0"/>
  </r>
  <r>
    <s v="LU1628004001"/>
    <x v="62"/>
    <n v="0"/>
    <x v="2"/>
    <x v="57"/>
    <x v="3"/>
    <x v="5"/>
    <s v="TFCFI1U LX Equity"/>
    <x v="61"/>
    <x v="1"/>
    <x v="12"/>
    <x v="3"/>
    <x v="0"/>
  </r>
  <r>
    <s v="CH0385841447"/>
    <x v="31"/>
    <n v="3"/>
    <x v="2"/>
    <x v="26"/>
    <x v="1"/>
    <x v="2"/>
    <s v="UBS0 04/24/25 Corp"/>
    <x v="18"/>
    <x v="0"/>
    <x v="3"/>
    <x v="0"/>
    <x v="2"/>
  </r>
  <r>
    <s v="CH0385841447"/>
    <x v="32"/>
    <n v="3"/>
    <x v="2"/>
    <x v="27"/>
    <x v="1"/>
    <x v="2"/>
    <s v="UBS0 04/24/25 Corp"/>
    <x v="18"/>
    <x v="0"/>
    <x v="3"/>
    <x v="0"/>
    <x v="2"/>
  </r>
  <r>
    <s v="CH0385841447"/>
    <x v="33"/>
    <n v="2"/>
    <x v="2"/>
    <x v="28"/>
    <x v="1"/>
    <x v="0"/>
    <s v="UBS0 04/24/25 Corp"/>
    <x v="18"/>
    <x v="0"/>
    <x v="3"/>
    <x v="0"/>
    <x v="2"/>
  </r>
  <r>
    <s v="CH0385841447"/>
    <x v="34"/>
    <n v="2"/>
    <x v="2"/>
    <x v="29"/>
    <x v="1"/>
    <x v="0"/>
    <s v="UBS0 04/24/25 Corp"/>
    <x v="18"/>
    <x v="0"/>
    <x v="3"/>
    <x v="0"/>
    <x v="2"/>
  </r>
  <r>
    <s v="CH0385841447"/>
    <x v="35"/>
    <n v="2"/>
    <x v="2"/>
    <x v="30"/>
    <x v="1"/>
    <x v="4"/>
    <s v="UBS0 04/24/25 Corp"/>
    <x v="18"/>
    <x v="0"/>
    <x v="3"/>
    <x v="0"/>
    <x v="2"/>
  </r>
  <r>
    <s v="CH0385841447"/>
    <x v="36"/>
    <n v="2"/>
    <x v="2"/>
    <x v="31"/>
    <x v="1"/>
    <x v="4"/>
    <s v="UBS0 04/24/25 Corp"/>
    <x v="18"/>
    <x v="0"/>
    <x v="3"/>
    <x v="0"/>
    <x v="2"/>
  </r>
  <r>
    <s v="CH0385841447"/>
    <x v="37"/>
    <n v="0"/>
    <x v="2"/>
    <x v="32"/>
    <x v="1"/>
    <x v="5"/>
    <s v="UBS0 04/24/25 Corp"/>
    <x v="18"/>
    <x v="0"/>
    <x v="3"/>
    <x v="0"/>
    <x v="2"/>
  </r>
  <r>
    <s v="CH0385841447"/>
    <x v="38"/>
    <n v="0"/>
    <x v="2"/>
    <x v="33"/>
    <x v="1"/>
    <x v="5"/>
    <s v="UBS0 04/24/25 Corp"/>
    <x v="18"/>
    <x v="0"/>
    <x v="3"/>
    <x v="0"/>
    <x v="2"/>
  </r>
  <r>
    <s v="CH0385841447"/>
    <x v="39"/>
    <n v="3"/>
    <x v="2"/>
    <x v="34"/>
    <x v="0"/>
    <x v="2"/>
    <s v="UBS0 04/24/25 Corp"/>
    <x v="18"/>
    <x v="0"/>
    <x v="3"/>
    <x v="0"/>
    <x v="2"/>
  </r>
  <r>
    <s v="CH0385841447"/>
    <x v="40"/>
    <n v="3"/>
    <x v="2"/>
    <x v="35"/>
    <x v="0"/>
    <x v="2"/>
    <s v="UBS0 04/24/25 Corp"/>
    <x v="18"/>
    <x v="0"/>
    <x v="3"/>
    <x v="0"/>
    <x v="2"/>
  </r>
  <r>
    <s v="CH0385841447"/>
    <x v="41"/>
    <n v="2"/>
    <x v="2"/>
    <x v="36"/>
    <x v="0"/>
    <x v="0"/>
    <s v="UBS0 04/24/25 Corp"/>
    <x v="18"/>
    <x v="0"/>
    <x v="3"/>
    <x v="0"/>
    <x v="2"/>
  </r>
  <r>
    <s v="CH0385841447"/>
    <x v="42"/>
    <n v="2"/>
    <x v="2"/>
    <x v="37"/>
    <x v="0"/>
    <x v="0"/>
    <s v="UBS0 04/24/25 Corp"/>
    <x v="18"/>
    <x v="0"/>
    <x v="3"/>
    <x v="0"/>
    <x v="2"/>
  </r>
  <r>
    <s v="CH0385841447"/>
    <x v="43"/>
    <n v="2"/>
    <x v="2"/>
    <x v="38"/>
    <x v="0"/>
    <x v="4"/>
    <s v="UBS0 04/24/25 Corp"/>
    <x v="18"/>
    <x v="0"/>
    <x v="3"/>
    <x v="0"/>
    <x v="2"/>
  </r>
  <r>
    <s v="CH0385841447"/>
    <x v="44"/>
    <n v="2"/>
    <x v="2"/>
    <x v="39"/>
    <x v="0"/>
    <x v="4"/>
    <s v="UBS0 04/24/25 Corp"/>
    <x v="18"/>
    <x v="0"/>
    <x v="3"/>
    <x v="0"/>
    <x v="2"/>
  </r>
  <r>
    <s v="CH0385841447"/>
    <x v="45"/>
    <n v="0"/>
    <x v="2"/>
    <x v="40"/>
    <x v="0"/>
    <x v="5"/>
    <s v="UBS0 04/24/25 Corp"/>
    <x v="18"/>
    <x v="0"/>
    <x v="3"/>
    <x v="0"/>
    <x v="2"/>
  </r>
  <r>
    <s v="CH0385841447"/>
    <x v="46"/>
    <n v="0"/>
    <x v="2"/>
    <x v="41"/>
    <x v="0"/>
    <x v="5"/>
    <s v="UBS0 04/24/25 Corp"/>
    <x v="18"/>
    <x v="0"/>
    <x v="3"/>
    <x v="0"/>
    <x v="2"/>
  </r>
  <r>
    <s v="CH0385841447"/>
    <x v="47"/>
    <n v="3"/>
    <x v="2"/>
    <x v="42"/>
    <x v="2"/>
    <x v="2"/>
    <s v="UBS0 04/24/25 Corp"/>
    <x v="18"/>
    <x v="0"/>
    <x v="3"/>
    <x v="0"/>
    <x v="2"/>
  </r>
  <r>
    <s v="CH0385841447"/>
    <x v="48"/>
    <n v="3"/>
    <x v="2"/>
    <x v="43"/>
    <x v="2"/>
    <x v="2"/>
    <s v="UBS0 04/24/25 Corp"/>
    <x v="18"/>
    <x v="0"/>
    <x v="3"/>
    <x v="0"/>
    <x v="2"/>
  </r>
  <r>
    <s v="CH0385841447"/>
    <x v="49"/>
    <n v="2"/>
    <x v="2"/>
    <x v="44"/>
    <x v="2"/>
    <x v="0"/>
    <s v="UBS0 04/24/25 Corp"/>
    <x v="18"/>
    <x v="0"/>
    <x v="3"/>
    <x v="0"/>
    <x v="2"/>
  </r>
  <r>
    <s v="CH0385841447"/>
    <x v="50"/>
    <n v="2"/>
    <x v="2"/>
    <x v="45"/>
    <x v="2"/>
    <x v="0"/>
    <s v="UBS0 04/24/25 Corp"/>
    <x v="18"/>
    <x v="0"/>
    <x v="3"/>
    <x v="0"/>
    <x v="2"/>
  </r>
  <r>
    <s v="CH0385841447"/>
    <x v="51"/>
    <n v="2"/>
    <x v="2"/>
    <x v="46"/>
    <x v="2"/>
    <x v="4"/>
    <s v="UBS0 04/24/25 Corp"/>
    <x v="18"/>
    <x v="0"/>
    <x v="3"/>
    <x v="0"/>
    <x v="2"/>
  </r>
  <r>
    <s v="CH0385841447"/>
    <x v="52"/>
    <n v="2"/>
    <x v="2"/>
    <x v="47"/>
    <x v="2"/>
    <x v="4"/>
    <s v="UBS0 04/24/25 Corp"/>
    <x v="18"/>
    <x v="0"/>
    <x v="3"/>
    <x v="0"/>
    <x v="2"/>
  </r>
  <r>
    <s v="CH0385841447"/>
    <x v="53"/>
    <n v="0"/>
    <x v="2"/>
    <x v="48"/>
    <x v="2"/>
    <x v="5"/>
    <s v="UBS0 04/24/25 Corp"/>
    <x v="18"/>
    <x v="0"/>
    <x v="3"/>
    <x v="0"/>
    <x v="2"/>
  </r>
  <r>
    <s v="CH0385841447"/>
    <x v="54"/>
    <n v="0"/>
    <x v="2"/>
    <x v="49"/>
    <x v="2"/>
    <x v="5"/>
    <s v="UBS0 04/24/25 Corp"/>
    <x v="18"/>
    <x v="0"/>
    <x v="3"/>
    <x v="0"/>
    <x v="2"/>
  </r>
  <r>
    <s v="CH0385841447"/>
    <x v="55"/>
    <n v="3"/>
    <x v="2"/>
    <x v="50"/>
    <x v="3"/>
    <x v="2"/>
    <s v="UBS0 04/24/25 Corp"/>
    <x v="18"/>
    <x v="0"/>
    <x v="3"/>
    <x v="0"/>
    <x v="2"/>
  </r>
  <r>
    <s v="CH0385841447"/>
    <x v="56"/>
    <n v="3"/>
    <x v="2"/>
    <x v="51"/>
    <x v="3"/>
    <x v="2"/>
    <s v="UBS0 04/24/25 Corp"/>
    <x v="18"/>
    <x v="0"/>
    <x v="3"/>
    <x v="0"/>
    <x v="2"/>
  </r>
  <r>
    <s v="CH0385841447"/>
    <x v="57"/>
    <n v="2"/>
    <x v="2"/>
    <x v="52"/>
    <x v="3"/>
    <x v="0"/>
    <s v="UBS0 04/24/25 Corp"/>
    <x v="18"/>
    <x v="0"/>
    <x v="3"/>
    <x v="0"/>
    <x v="2"/>
  </r>
  <r>
    <s v="CH0385841447"/>
    <x v="58"/>
    <n v="2"/>
    <x v="2"/>
    <x v="53"/>
    <x v="3"/>
    <x v="0"/>
    <s v="UBS0 04/24/25 Corp"/>
    <x v="18"/>
    <x v="0"/>
    <x v="3"/>
    <x v="0"/>
    <x v="2"/>
  </r>
  <r>
    <s v="CH0385841447"/>
    <x v="59"/>
    <n v="2"/>
    <x v="2"/>
    <x v="54"/>
    <x v="3"/>
    <x v="4"/>
    <s v="UBS0 04/24/25 Corp"/>
    <x v="18"/>
    <x v="0"/>
    <x v="3"/>
    <x v="0"/>
    <x v="2"/>
  </r>
  <r>
    <s v="CH0385841447"/>
    <x v="60"/>
    <n v="2"/>
    <x v="2"/>
    <x v="55"/>
    <x v="3"/>
    <x v="4"/>
    <s v="UBS0 04/24/25 Corp"/>
    <x v="18"/>
    <x v="0"/>
    <x v="3"/>
    <x v="0"/>
    <x v="2"/>
  </r>
  <r>
    <s v="CH0385841447"/>
    <x v="61"/>
    <n v="0"/>
    <x v="2"/>
    <x v="56"/>
    <x v="3"/>
    <x v="5"/>
    <s v="UBS0 04/24/25 Corp"/>
    <x v="18"/>
    <x v="0"/>
    <x v="3"/>
    <x v="0"/>
    <x v="2"/>
  </r>
  <r>
    <s v="CH0385841447"/>
    <x v="62"/>
    <n v="0"/>
    <x v="2"/>
    <x v="57"/>
    <x v="3"/>
    <x v="5"/>
    <s v="UBS0 04/24/25 Corp"/>
    <x v="18"/>
    <x v="0"/>
    <x v="3"/>
    <x v="0"/>
    <x v="2"/>
  </r>
  <r>
    <s v=""/>
    <x v="39"/>
    <n v="0"/>
    <x v="2"/>
    <x v="34"/>
    <x v="0"/>
    <x v="2"/>
    <s v="USD/EUR 11/25/2019 Curncy"/>
    <x v="95"/>
    <x v="6"/>
    <x v="7"/>
    <x v="3"/>
    <x v="0"/>
  </r>
  <r>
    <s v=""/>
    <x v="40"/>
    <n v="0"/>
    <x v="2"/>
    <x v="35"/>
    <x v="0"/>
    <x v="2"/>
    <s v="USD/EUR 11/25/2019 Curncy"/>
    <x v="95"/>
    <x v="6"/>
    <x v="7"/>
    <x v="3"/>
    <x v="0"/>
  </r>
  <r>
    <s v=""/>
    <x v="41"/>
    <n v="0"/>
    <x v="2"/>
    <x v="36"/>
    <x v="0"/>
    <x v="0"/>
    <s v="USD/EUR 11/25/2019 Curncy"/>
    <x v="95"/>
    <x v="6"/>
    <x v="7"/>
    <x v="3"/>
    <x v="0"/>
  </r>
  <r>
    <s v=""/>
    <x v="42"/>
    <n v="0"/>
    <x v="2"/>
    <x v="37"/>
    <x v="0"/>
    <x v="0"/>
    <s v="USD/EUR 11/25/2019 Curncy"/>
    <x v="95"/>
    <x v="6"/>
    <x v="7"/>
    <x v="3"/>
    <x v="0"/>
  </r>
  <r>
    <s v=""/>
    <x v="43"/>
    <n v="0"/>
    <x v="2"/>
    <x v="38"/>
    <x v="0"/>
    <x v="4"/>
    <s v="USD/EUR 11/25/2019 Curncy"/>
    <x v="95"/>
    <x v="6"/>
    <x v="7"/>
    <x v="3"/>
    <x v="0"/>
  </r>
  <r>
    <s v=""/>
    <x v="44"/>
    <n v="0"/>
    <x v="2"/>
    <x v="39"/>
    <x v="0"/>
    <x v="4"/>
    <s v="USD/EUR 11/25/2019 Curncy"/>
    <x v="95"/>
    <x v="6"/>
    <x v="7"/>
    <x v="3"/>
    <x v="0"/>
  </r>
  <r>
    <s v=""/>
    <x v="45"/>
    <n v="0"/>
    <x v="2"/>
    <x v="40"/>
    <x v="0"/>
    <x v="5"/>
    <s v="USD/EUR 11/25/2019 Curncy"/>
    <x v="95"/>
    <x v="6"/>
    <x v="7"/>
    <x v="3"/>
    <x v="0"/>
  </r>
  <r>
    <s v=""/>
    <x v="46"/>
    <n v="0"/>
    <x v="2"/>
    <x v="41"/>
    <x v="0"/>
    <x v="5"/>
    <s v="USD/EUR 11/25/2019 Curncy"/>
    <x v="95"/>
    <x v="6"/>
    <x v="7"/>
    <x v="3"/>
    <x v="0"/>
  </r>
  <r>
    <s v="XAU Curncy"/>
    <x v="55"/>
    <n v="0"/>
    <x v="2"/>
    <x v="50"/>
    <x v="3"/>
    <x v="2"/>
    <s v="XAU Curncy"/>
    <x v="103"/>
    <x v="1"/>
    <x v="2"/>
    <x v="3"/>
    <x v="0"/>
  </r>
  <r>
    <s v="XAU Curncy"/>
    <x v="56"/>
    <n v="5"/>
    <x v="2"/>
    <x v="51"/>
    <x v="3"/>
    <x v="2"/>
    <s v="XAU Curncy"/>
    <x v="103"/>
    <x v="1"/>
    <x v="2"/>
    <x v="3"/>
    <x v="0"/>
  </r>
  <r>
    <s v="XAU Curncy"/>
    <x v="57"/>
    <n v="0"/>
    <x v="2"/>
    <x v="52"/>
    <x v="3"/>
    <x v="0"/>
    <s v="XAU Curncy"/>
    <x v="103"/>
    <x v="1"/>
    <x v="2"/>
    <x v="3"/>
    <x v="0"/>
  </r>
  <r>
    <s v="XAU Curncy"/>
    <x v="58"/>
    <n v="5"/>
    <x v="2"/>
    <x v="53"/>
    <x v="3"/>
    <x v="0"/>
    <s v="XAU Curncy"/>
    <x v="103"/>
    <x v="1"/>
    <x v="2"/>
    <x v="3"/>
    <x v="0"/>
  </r>
  <r>
    <s v="XAU Curncy"/>
    <x v="59"/>
    <n v="5"/>
    <x v="2"/>
    <x v="54"/>
    <x v="3"/>
    <x v="4"/>
    <s v="XAU Curncy"/>
    <x v="103"/>
    <x v="1"/>
    <x v="2"/>
    <x v="3"/>
    <x v="0"/>
  </r>
  <r>
    <s v="XAU Curncy"/>
    <x v="60"/>
    <n v="5"/>
    <x v="2"/>
    <x v="55"/>
    <x v="3"/>
    <x v="4"/>
    <s v="XAU Curncy"/>
    <x v="103"/>
    <x v="1"/>
    <x v="2"/>
    <x v="3"/>
    <x v="0"/>
  </r>
  <r>
    <s v="XAU Curncy"/>
    <x v="61"/>
    <n v="5"/>
    <x v="2"/>
    <x v="56"/>
    <x v="3"/>
    <x v="5"/>
    <s v="XAU Curncy"/>
    <x v="103"/>
    <x v="1"/>
    <x v="2"/>
    <x v="3"/>
    <x v="0"/>
  </r>
  <r>
    <s v="XAU Curncy"/>
    <x v="62"/>
    <n v="5"/>
    <x v="2"/>
    <x v="57"/>
    <x v="3"/>
    <x v="5"/>
    <s v="XAU Curncy"/>
    <x v="103"/>
    <x v="1"/>
    <x v="2"/>
    <x v="3"/>
    <x v="0"/>
  </r>
  <r>
    <s v="XAUCHF Curncy"/>
    <x v="31"/>
    <n v="0"/>
    <x v="2"/>
    <x v="26"/>
    <x v="1"/>
    <x v="2"/>
    <s v="XAUCHF Curncy"/>
    <x v="104"/>
    <x v="1"/>
    <x v="2"/>
    <x v="2"/>
    <x v="0"/>
  </r>
  <r>
    <s v="XAUCHF Curncy"/>
    <x v="32"/>
    <n v="5"/>
    <x v="2"/>
    <x v="27"/>
    <x v="1"/>
    <x v="2"/>
    <s v="XAUCHF Curncy"/>
    <x v="104"/>
    <x v="1"/>
    <x v="2"/>
    <x v="2"/>
    <x v="0"/>
  </r>
  <r>
    <s v="XAUCHF Curncy"/>
    <x v="33"/>
    <n v="0"/>
    <x v="2"/>
    <x v="28"/>
    <x v="1"/>
    <x v="0"/>
    <s v="XAUCHF Curncy"/>
    <x v="104"/>
    <x v="1"/>
    <x v="2"/>
    <x v="2"/>
    <x v="0"/>
  </r>
  <r>
    <s v="XAUCHF Curncy"/>
    <x v="34"/>
    <n v="5"/>
    <x v="2"/>
    <x v="29"/>
    <x v="1"/>
    <x v="0"/>
    <s v="XAUCHF Curncy"/>
    <x v="104"/>
    <x v="1"/>
    <x v="2"/>
    <x v="2"/>
    <x v="0"/>
  </r>
  <r>
    <s v="XAUCHF Curncy"/>
    <x v="35"/>
    <n v="5"/>
    <x v="2"/>
    <x v="30"/>
    <x v="1"/>
    <x v="4"/>
    <s v="XAUCHF Curncy"/>
    <x v="104"/>
    <x v="1"/>
    <x v="2"/>
    <x v="2"/>
    <x v="0"/>
  </r>
  <r>
    <s v="XAUCHF Curncy"/>
    <x v="36"/>
    <n v="5"/>
    <x v="2"/>
    <x v="31"/>
    <x v="1"/>
    <x v="4"/>
    <s v="XAUCHF Curncy"/>
    <x v="104"/>
    <x v="1"/>
    <x v="2"/>
    <x v="2"/>
    <x v="0"/>
  </r>
  <r>
    <s v="XAUCHF Curncy"/>
    <x v="37"/>
    <n v="5"/>
    <x v="2"/>
    <x v="32"/>
    <x v="1"/>
    <x v="5"/>
    <s v="XAUCHF Curncy"/>
    <x v="104"/>
    <x v="1"/>
    <x v="2"/>
    <x v="2"/>
    <x v="0"/>
  </r>
  <r>
    <s v="XAUCHF Curncy"/>
    <x v="38"/>
    <n v="5"/>
    <x v="2"/>
    <x v="33"/>
    <x v="1"/>
    <x v="5"/>
    <s v="XAUCHF Curncy"/>
    <x v="104"/>
    <x v="1"/>
    <x v="2"/>
    <x v="2"/>
    <x v="0"/>
  </r>
  <r>
    <s v="XAUEUR Curncy"/>
    <x v="39"/>
    <n v="0"/>
    <x v="2"/>
    <x v="34"/>
    <x v="0"/>
    <x v="2"/>
    <s v="XAUEUR Curncy"/>
    <x v="105"/>
    <x v="1"/>
    <x v="2"/>
    <x v="0"/>
    <x v="0"/>
  </r>
  <r>
    <s v="XAUEUR Curncy"/>
    <x v="40"/>
    <n v="5"/>
    <x v="2"/>
    <x v="35"/>
    <x v="0"/>
    <x v="2"/>
    <s v="XAUEUR Curncy"/>
    <x v="105"/>
    <x v="1"/>
    <x v="2"/>
    <x v="0"/>
    <x v="0"/>
  </r>
  <r>
    <s v="XAUEUR Curncy"/>
    <x v="41"/>
    <n v="0"/>
    <x v="2"/>
    <x v="36"/>
    <x v="0"/>
    <x v="0"/>
    <s v="XAUEUR Curncy"/>
    <x v="105"/>
    <x v="1"/>
    <x v="2"/>
    <x v="0"/>
    <x v="0"/>
  </r>
  <r>
    <s v="XAUEUR Curncy"/>
    <x v="42"/>
    <n v="5"/>
    <x v="2"/>
    <x v="37"/>
    <x v="0"/>
    <x v="0"/>
    <s v="XAUEUR Curncy"/>
    <x v="105"/>
    <x v="1"/>
    <x v="2"/>
    <x v="0"/>
    <x v="0"/>
  </r>
  <r>
    <s v="XAUEUR Curncy"/>
    <x v="43"/>
    <n v="5"/>
    <x v="2"/>
    <x v="38"/>
    <x v="0"/>
    <x v="4"/>
    <s v="XAUEUR Curncy"/>
    <x v="105"/>
    <x v="1"/>
    <x v="2"/>
    <x v="0"/>
    <x v="0"/>
  </r>
  <r>
    <s v="XAUEUR Curncy"/>
    <x v="44"/>
    <n v="5"/>
    <x v="2"/>
    <x v="39"/>
    <x v="0"/>
    <x v="4"/>
    <s v="XAUEUR Curncy"/>
    <x v="105"/>
    <x v="1"/>
    <x v="2"/>
    <x v="0"/>
    <x v="0"/>
  </r>
  <r>
    <s v="XAUEUR Curncy"/>
    <x v="45"/>
    <n v="5"/>
    <x v="2"/>
    <x v="40"/>
    <x v="0"/>
    <x v="5"/>
    <s v="XAUEUR Curncy"/>
    <x v="105"/>
    <x v="1"/>
    <x v="2"/>
    <x v="0"/>
    <x v="0"/>
  </r>
  <r>
    <s v="XAUEUR Curncy"/>
    <x v="46"/>
    <n v="5"/>
    <x v="2"/>
    <x v="41"/>
    <x v="0"/>
    <x v="5"/>
    <s v="XAUEUR Curncy"/>
    <x v="105"/>
    <x v="1"/>
    <x v="2"/>
    <x v="0"/>
    <x v="0"/>
  </r>
  <r>
    <s v="XAUGBP Curncy"/>
    <x v="47"/>
    <n v="0"/>
    <x v="2"/>
    <x v="42"/>
    <x v="2"/>
    <x v="2"/>
    <s v="XAUGBP Curncy"/>
    <x v="106"/>
    <x v="1"/>
    <x v="2"/>
    <x v="5"/>
    <x v="0"/>
  </r>
  <r>
    <s v="XAUGBP Curncy"/>
    <x v="48"/>
    <n v="5"/>
    <x v="2"/>
    <x v="43"/>
    <x v="2"/>
    <x v="2"/>
    <s v="XAUGBP Curncy"/>
    <x v="106"/>
    <x v="1"/>
    <x v="2"/>
    <x v="5"/>
    <x v="0"/>
  </r>
  <r>
    <s v="XAUGBP Curncy"/>
    <x v="49"/>
    <n v="0"/>
    <x v="2"/>
    <x v="44"/>
    <x v="2"/>
    <x v="0"/>
    <s v="XAUGBP Curncy"/>
    <x v="106"/>
    <x v="1"/>
    <x v="2"/>
    <x v="5"/>
    <x v="0"/>
  </r>
  <r>
    <s v="XAUGBP Curncy"/>
    <x v="50"/>
    <n v="5"/>
    <x v="2"/>
    <x v="45"/>
    <x v="2"/>
    <x v="0"/>
    <s v="XAUGBP Curncy"/>
    <x v="106"/>
    <x v="1"/>
    <x v="2"/>
    <x v="5"/>
    <x v="0"/>
  </r>
  <r>
    <s v="XAUGBP Curncy"/>
    <x v="51"/>
    <n v="5"/>
    <x v="2"/>
    <x v="46"/>
    <x v="2"/>
    <x v="4"/>
    <s v="XAUGBP Curncy"/>
    <x v="106"/>
    <x v="1"/>
    <x v="2"/>
    <x v="5"/>
    <x v="0"/>
  </r>
  <r>
    <s v="XAUGBP Curncy"/>
    <x v="52"/>
    <n v="5"/>
    <x v="2"/>
    <x v="47"/>
    <x v="2"/>
    <x v="4"/>
    <s v="XAUGBP Curncy"/>
    <x v="106"/>
    <x v="1"/>
    <x v="2"/>
    <x v="5"/>
    <x v="0"/>
  </r>
  <r>
    <s v="XAUGBP Curncy"/>
    <x v="53"/>
    <n v="5"/>
    <x v="2"/>
    <x v="48"/>
    <x v="2"/>
    <x v="5"/>
    <s v="XAUGBP Curncy"/>
    <x v="106"/>
    <x v="1"/>
    <x v="2"/>
    <x v="5"/>
    <x v="0"/>
  </r>
  <r>
    <s v="XAUGBP Curncy"/>
    <x v="54"/>
    <n v="5"/>
    <x v="2"/>
    <x v="49"/>
    <x v="2"/>
    <x v="5"/>
    <s v="XAUGBP Curncy"/>
    <x v="106"/>
    <x v="1"/>
    <x v="2"/>
    <x v="5"/>
    <x v="0"/>
  </r>
  <r>
    <s v="Cash"/>
    <x v="28"/>
    <n v="0.32"/>
    <x v="1"/>
    <x v="23"/>
    <x v="0"/>
    <x v="7"/>
    <s v="Cash"/>
    <x v="107"/>
    <x v="2"/>
    <x v="22"/>
    <x v="0"/>
    <x v="0"/>
  </r>
  <r>
    <s v="Cash"/>
    <x v="63"/>
    <n v="0.92"/>
    <x v="1"/>
    <x v="58"/>
    <x v="0"/>
    <x v="6"/>
    <s v="Cash"/>
    <x v="107"/>
    <x v="2"/>
    <x v="22"/>
    <x v="0"/>
    <x v="0"/>
  </r>
  <r>
    <s v="Cash"/>
    <x v="11"/>
    <n v="33.1843"/>
    <x v="0"/>
    <x v="11"/>
    <x v="3"/>
    <x v="4"/>
    <s v="Cash"/>
    <x v="107"/>
    <x v="2"/>
    <x v="22"/>
    <x v="3"/>
    <x v="0"/>
  </r>
  <r>
    <s v="Cash"/>
    <x v="4"/>
    <n v="4.01"/>
    <x v="1"/>
    <x v="4"/>
    <x v="0"/>
    <x v="4"/>
    <s v="Cash"/>
    <x v="107"/>
    <x v="2"/>
    <x v="22"/>
    <x v="0"/>
    <x v="0"/>
  </r>
  <r>
    <s v="Cash"/>
    <x v="29"/>
    <n v="0.03"/>
    <x v="1"/>
    <x v="24"/>
    <x v="1"/>
    <x v="6"/>
    <s v="Cash"/>
    <x v="107"/>
    <x v="2"/>
    <x v="22"/>
    <x v="2"/>
    <x v="0"/>
  </r>
  <r>
    <s v="Cash"/>
    <x v="3"/>
    <n v="4.99"/>
    <x v="1"/>
    <x v="3"/>
    <x v="0"/>
    <x v="3"/>
    <s v="Cash"/>
    <x v="107"/>
    <x v="2"/>
    <x v="22"/>
    <x v="0"/>
    <x v="0"/>
  </r>
  <r>
    <s v="Cash"/>
    <x v="12"/>
    <n v="7.45"/>
    <x v="1"/>
    <x v="12"/>
    <x v="0"/>
    <x v="4"/>
    <s v="Cash"/>
    <x v="107"/>
    <x v="2"/>
    <x v="22"/>
    <x v="0"/>
    <x v="0"/>
  </r>
  <r>
    <s v="Cash"/>
    <x v="6"/>
    <n v="21.79"/>
    <x v="1"/>
    <x v="6"/>
    <x v="1"/>
    <x v="4"/>
    <s v="Cash"/>
    <x v="107"/>
    <x v="2"/>
    <x v="22"/>
    <x v="2"/>
    <x v="0"/>
  </r>
  <r>
    <s v="Cash"/>
    <x v="22"/>
    <n v="43.945399999999999"/>
    <x v="0"/>
    <x v="18"/>
    <x v="1"/>
    <x v="4"/>
    <s v="Cash"/>
    <x v="107"/>
    <x v="2"/>
    <x v="22"/>
    <x v="2"/>
    <x v="0"/>
  </r>
  <r>
    <s v="Cash"/>
    <x v="1"/>
    <n v="32.4587"/>
    <x v="0"/>
    <x v="1"/>
    <x v="0"/>
    <x v="1"/>
    <s v="Cash"/>
    <x v="107"/>
    <x v="2"/>
    <x v="22"/>
    <x v="0"/>
    <x v="0"/>
  </r>
  <r>
    <s v="Cash"/>
    <x v="64"/>
    <n v="100"/>
    <x v="0"/>
    <x v="59"/>
    <x v="1"/>
    <x v="6"/>
    <s v="Cash"/>
    <x v="107"/>
    <x v="2"/>
    <x v="22"/>
    <x v="2"/>
    <x v="0"/>
  </r>
  <r>
    <s v="Cash"/>
    <x v="2"/>
    <n v="6.1250999999999998"/>
    <x v="0"/>
    <x v="2"/>
    <x v="1"/>
    <x v="2"/>
    <s v="Cash"/>
    <x v="107"/>
    <x v="2"/>
    <x v="22"/>
    <x v="2"/>
    <x v="0"/>
  </r>
  <r>
    <s v="Cash"/>
    <x v="26"/>
    <n v="65.182000000000002"/>
    <x v="0"/>
    <x v="21"/>
    <x v="1"/>
    <x v="5"/>
    <s v="Cash"/>
    <x v="107"/>
    <x v="2"/>
    <x v="22"/>
    <x v="2"/>
    <x v="0"/>
  </r>
  <r>
    <s v="Cash"/>
    <x v="13"/>
    <n v="28.078499999999998"/>
    <x v="0"/>
    <x v="13"/>
    <x v="0"/>
    <x v="4"/>
    <s v="Cash"/>
    <x v="107"/>
    <x v="2"/>
    <x v="22"/>
    <x v="0"/>
    <x v="0"/>
  </r>
  <r>
    <s v="Cash"/>
    <x v="14"/>
    <n v="14.949"/>
    <x v="0"/>
    <x v="14"/>
    <x v="0"/>
    <x v="4"/>
    <s v="Cash"/>
    <x v="107"/>
    <x v="2"/>
    <x v="22"/>
    <x v="0"/>
    <x v="0"/>
  </r>
  <r>
    <s v="Cash"/>
    <x v="27"/>
    <n v="20.312899999999999"/>
    <x v="0"/>
    <x v="22"/>
    <x v="1"/>
    <x v="8"/>
    <s v="Cash"/>
    <x v="107"/>
    <x v="2"/>
    <x v="22"/>
    <x v="2"/>
    <x v="0"/>
  </r>
  <r>
    <s v="Cash"/>
    <x v="9"/>
    <n v="21.207100000000001"/>
    <x v="0"/>
    <x v="9"/>
    <x v="0"/>
    <x v="4"/>
    <s v="Cash"/>
    <x v="107"/>
    <x v="2"/>
    <x v="22"/>
    <x v="0"/>
    <x v="0"/>
  </r>
  <r>
    <s v="Cash"/>
    <x v="23"/>
    <n v="47.466799999999999"/>
    <x v="0"/>
    <x v="19"/>
    <x v="0"/>
    <x v="4"/>
    <s v="Cash"/>
    <x v="107"/>
    <x v="2"/>
    <x v="22"/>
    <x v="0"/>
    <x v="0"/>
  </r>
  <r>
    <s v="Cash"/>
    <x v="0"/>
    <n v="29.438700000000001"/>
    <x v="0"/>
    <x v="0"/>
    <x v="0"/>
    <x v="0"/>
    <s v="Cash"/>
    <x v="107"/>
    <x v="2"/>
    <x v="22"/>
    <x v="0"/>
    <x v="0"/>
  </r>
  <r>
    <s v="Cash"/>
    <x v="15"/>
    <n v="32.665100000000002"/>
    <x v="0"/>
    <x v="7"/>
    <x v="1"/>
    <x v="4"/>
    <s v="Cash"/>
    <x v="107"/>
    <x v="2"/>
    <x v="22"/>
    <x v="2"/>
    <x v="0"/>
  </r>
  <r>
    <s v="Cash"/>
    <x v="7"/>
    <n v="26.4895"/>
    <x v="0"/>
    <x v="7"/>
    <x v="0"/>
    <x v="4"/>
    <s v="Cash"/>
    <x v="107"/>
    <x v="2"/>
    <x v="22"/>
    <x v="0"/>
    <x v="0"/>
  </r>
  <r>
    <s v="Cash"/>
    <x v="25"/>
    <n v="45.200400000000002"/>
    <x v="0"/>
    <x v="7"/>
    <x v="0"/>
    <x v="4"/>
    <s v="Cash"/>
    <x v="107"/>
    <x v="2"/>
    <x v="22"/>
    <x v="0"/>
    <x v="0"/>
  </r>
  <r>
    <s v="Cash"/>
    <x v="16"/>
    <n v="25.819400000000002"/>
    <x v="0"/>
    <x v="15"/>
    <x v="1"/>
    <x v="5"/>
    <s v="Cash"/>
    <x v="107"/>
    <x v="2"/>
    <x v="22"/>
    <x v="2"/>
    <x v="0"/>
  </r>
  <r>
    <s v="Cash"/>
    <x v="20"/>
    <n v="6.3597000000000001"/>
    <x v="0"/>
    <x v="8"/>
    <x v="0"/>
    <x v="4"/>
    <s v="Cash"/>
    <x v="107"/>
    <x v="2"/>
    <x v="22"/>
    <x v="0"/>
    <x v="0"/>
  </r>
  <r>
    <s v="Cash"/>
    <x v="21"/>
    <n v="3.8565999999999998"/>
    <x v="0"/>
    <x v="8"/>
    <x v="0"/>
    <x v="4"/>
    <s v="Cash"/>
    <x v="107"/>
    <x v="2"/>
    <x v="22"/>
    <x v="0"/>
    <x v="0"/>
  </r>
  <r>
    <s v="Cash"/>
    <x v="8"/>
    <n v="19.920500000000001"/>
    <x v="0"/>
    <x v="8"/>
    <x v="0"/>
    <x v="4"/>
    <s v="Cash"/>
    <x v="107"/>
    <x v="2"/>
    <x v="22"/>
    <x v="0"/>
    <x v="0"/>
  </r>
  <r>
    <s v="Cash"/>
    <x v="5"/>
    <n v="19.412800000000001"/>
    <x v="0"/>
    <x v="5"/>
    <x v="0"/>
    <x v="4"/>
    <s v="Cash"/>
    <x v="107"/>
    <x v="2"/>
    <x v="22"/>
    <x v="0"/>
    <x v="0"/>
  </r>
  <r>
    <s v="Cash"/>
    <x v="17"/>
    <n v="70.177300000000002"/>
    <x v="0"/>
    <x v="5"/>
    <x v="3"/>
    <x v="6"/>
    <s v="Cash"/>
    <x v="107"/>
    <x v="2"/>
    <x v="22"/>
    <x v="3"/>
    <x v="0"/>
  </r>
  <r>
    <s v="Cash"/>
    <x v="24"/>
    <n v="27.308599999999998"/>
    <x v="0"/>
    <x v="20"/>
    <x v="0"/>
    <x v="7"/>
    <s v="Cash"/>
    <x v="107"/>
    <x v="2"/>
    <x v="22"/>
    <x v="0"/>
    <x v="0"/>
  </r>
  <r>
    <s v="Cash"/>
    <x v="18"/>
    <n v="29.935199999999998"/>
    <x v="0"/>
    <x v="16"/>
    <x v="0"/>
    <x v="4"/>
    <s v="Cash"/>
    <x v="107"/>
    <x v="2"/>
    <x v="22"/>
    <x v="0"/>
    <x v="0"/>
  </r>
  <r>
    <s v="Cash"/>
    <x v="30"/>
    <n v="7.1509999999999998"/>
    <x v="0"/>
    <x v="25"/>
    <x v="0"/>
    <x v="2"/>
    <s v="Cash"/>
    <x v="107"/>
    <x v="2"/>
    <x v="22"/>
    <x v="0"/>
    <x v="0"/>
  </r>
  <r>
    <s v="Cash"/>
    <x v="19"/>
    <n v="70.959100000000007"/>
    <x v="0"/>
    <x v="17"/>
    <x v="0"/>
    <x v="0"/>
    <s v="Cash"/>
    <x v="107"/>
    <x v="2"/>
    <x v="22"/>
    <x v="0"/>
    <x v="0"/>
  </r>
  <r>
    <s v="Cash"/>
    <x v="65"/>
    <n v="100"/>
    <x v="0"/>
    <x v="60"/>
    <x v="2"/>
    <x v="6"/>
    <s v="Cash"/>
    <x v="107"/>
    <x v="2"/>
    <x v="22"/>
    <x v="5"/>
    <x v="0"/>
  </r>
  <r>
    <s v="Cash"/>
    <x v="10"/>
    <n v="3.6004"/>
    <x v="0"/>
    <x v="10"/>
    <x v="2"/>
    <x v="2"/>
    <s v="Cash"/>
    <x v="107"/>
    <x v="2"/>
    <x v="22"/>
    <x v="5"/>
    <x v="0"/>
  </r>
  <r>
    <s v="Cash"/>
    <x v="31"/>
    <n v="2"/>
    <x v="2"/>
    <x v="26"/>
    <x v="1"/>
    <x v="2"/>
    <s v="Cash"/>
    <x v="107"/>
    <x v="2"/>
    <x v="22"/>
    <x v="2"/>
    <x v="0"/>
  </r>
  <r>
    <s v="Cash"/>
    <x v="32"/>
    <n v="10"/>
    <x v="2"/>
    <x v="27"/>
    <x v="1"/>
    <x v="2"/>
    <s v="Cash"/>
    <x v="107"/>
    <x v="2"/>
    <x v="22"/>
    <x v="2"/>
    <x v="0"/>
  </r>
  <r>
    <s v="Cash"/>
    <x v="33"/>
    <n v="2"/>
    <x v="2"/>
    <x v="28"/>
    <x v="1"/>
    <x v="0"/>
    <s v="Cash"/>
    <x v="107"/>
    <x v="2"/>
    <x v="22"/>
    <x v="2"/>
    <x v="0"/>
  </r>
  <r>
    <s v="Cash"/>
    <x v="34"/>
    <n v="15"/>
    <x v="2"/>
    <x v="29"/>
    <x v="1"/>
    <x v="0"/>
    <s v="Cash"/>
    <x v="107"/>
    <x v="2"/>
    <x v="22"/>
    <x v="2"/>
    <x v="0"/>
  </r>
  <r>
    <s v="Cash"/>
    <x v="35"/>
    <n v="5"/>
    <x v="2"/>
    <x v="30"/>
    <x v="1"/>
    <x v="4"/>
    <s v="Cash"/>
    <x v="107"/>
    <x v="2"/>
    <x v="22"/>
    <x v="2"/>
    <x v="0"/>
  </r>
  <r>
    <s v="Cash"/>
    <x v="36"/>
    <n v="20"/>
    <x v="2"/>
    <x v="31"/>
    <x v="1"/>
    <x v="4"/>
    <s v="Cash"/>
    <x v="107"/>
    <x v="2"/>
    <x v="22"/>
    <x v="2"/>
    <x v="0"/>
  </r>
  <r>
    <s v="Cash"/>
    <x v="37"/>
    <n v="10"/>
    <x v="2"/>
    <x v="32"/>
    <x v="1"/>
    <x v="5"/>
    <s v="Cash"/>
    <x v="107"/>
    <x v="2"/>
    <x v="22"/>
    <x v="2"/>
    <x v="0"/>
  </r>
  <r>
    <s v="Cash"/>
    <x v="38"/>
    <n v="30"/>
    <x v="2"/>
    <x v="33"/>
    <x v="1"/>
    <x v="5"/>
    <s v="Cash"/>
    <x v="107"/>
    <x v="2"/>
    <x v="22"/>
    <x v="2"/>
    <x v="0"/>
  </r>
  <r>
    <s v="Cash"/>
    <x v="39"/>
    <n v="2"/>
    <x v="2"/>
    <x v="34"/>
    <x v="0"/>
    <x v="2"/>
    <s v="Cash"/>
    <x v="107"/>
    <x v="2"/>
    <x v="22"/>
    <x v="0"/>
    <x v="0"/>
  </r>
  <r>
    <s v="Cash"/>
    <x v="40"/>
    <n v="10"/>
    <x v="2"/>
    <x v="35"/>
    <x v="0"/>
    <x v="2"/>
    <s v="Cash"/>
    <x v="107"/>
    <x v="2"/>
    <x v="22"/>
    <x v="0"/>
    <x v="0"/>
  </r>
  <r>
    <s v="Cash"/>
    <x v="41"/>
    <n v="2"/>
    <x v="2"/>
    <x v="36"/>
    <x v="0"/>
    <x v="0"/>
    <s v="Cash"/>
    <x v="107"/>
    <x v="2"/>
    <x v="22"/>
    <x v="0"/>
    <x v="0"/>
  </r>
  <r>
    <s v="Cash"/>
    <x v="42"/>
    <n v="15"/>
    <x v="2"/>
    <x v="37"/>
    <x v="0"/>
    <x v="0"/>
    <s v="Cash"/>
    <x v="107"/>
    <x v="2"/>
    <x v="22"/>
    <x v="0"/>
    <x v="0"/>
  </r>
  <r>
    <s v="Cash"/>
    <x v="43"/>
    <n v="5"/>
    <x v="2"/>
    <x v="38"/>
    <x v="0"/>
    <x v="4"/>
    <s v="Cash"/>
    <x v="107"/>
    <x v="2"/>
    <x v="22"/>
    <x v="0"/>
    <x v="0"/>
  </r>
  <r>
    <s v="Cash"/>
    <x v="44"/>
    <n v="20"/>
    <x v="2"/>
    <x v="39"/>
    <x v="0"/>
    <x v="4"/>
    <s v="Cash"/>
    <x v="107"/>
    <x v="2"/>
    <x v="22"/>
    <x v="0"/>
    <x v="0"/>
  </r>
  <r>
    <s v="Cash"/>
    <x v="45"/>
    <n v="10"/>
    <x v="2"/>
    <x v="40"/>
    <x v="0"/>
    <x v="5"/>
    <s v="Cash"/>
    <x v="107"/>
    <x v="2"/>
    <x v="22"/>
    <x v="0"/>
    <x v="0"/>
  </r>
  <r>
    <s v="Cash"/>
    <x v="46"/>
    <n v="30"/>
    <x v="2"/>
    <x v="41"/>
    <x v="0"/>
    <x v="5"/>
    <s v="Cash"/>
    <x v="107"/>
    <x v="2"/>
    <x v="22"/>
    <x v="0"/>
    <x v="0"/>
  </r>
  <r>
    <s v="Cash"/>
    <x v="47"/>
    <n v="2"/>
    <x v="2"/>
    <x v="42"/>
    <x v="2"/>
    <x v="2"/>
    <s v="Cash"/>
    <x v="107"/>
    <x v="2"/>
    <x v="22"/>
    <x v="5"/>
    <x v="0"/>
  </r>
  <r>
    <s v="Cash"/>
    <x v="48"/>
    <n v="10"/>
    <x v="2"/>
    <x v="43"/>
    <x v="2"/>
    <x v="2"/>
    <s v="Cash"/>
    <x v="107"/>
    <x v="2"/>
    <x v="22"/>
    <x v="5"/>
    <x v="0"/>
  </r>
  <r>
    <s v="Cash"/>
    <x v="49"/>
    <n v="2"/>
    <x v="2"/>
    <x v="44"/>
    <x v="2"/>
    <x v="0"/>
    <s v="Cash"/>
    <x v="107"/>
    <x v="2"/>
    <x v="22"/>
    <x v="5"/>
    <x v="0"/>
  </r>
  <r>
    <s v="Cash"/>
    <x v="50"/>
    <n v="15"/>
    <x v="2"/>
    <x v="45"/>
    <x v="2"/>
    <x v="0"/>
    <s v="Cash"/>
    <x v="107"/>
    <x v="2"/>
    <x v="22"/>
    <x v="5"/>
    <x v="0"/>
  </r>
  <r>
    <s v="Cash"/>
    <x v="51"/>
    <n v="5"/>
    <x v="2"/>
    <x v="46"/>
    <x v="2"/>
    <x v="4"/>
    <s v="Cash"/>
    <x v="107"/>
    <x v="2"/>
    <x v="22"/>
    <x v="5"/>
    <x v="0"/>
  </r>
  <r>
    <s v="Cash"/>
    <x v="52"/>
    <n v="20"/>
    <x v="2"/>
    <x v="47"/>
    <x v="2"/>
    <x v="4"/>
    <s v="Cash"/>
    <x v="107"/>
    <x v="2"/>
    <x v="22"/>
    <x v="5"/>
    <x v="0"/>
  </r>
  <r>
    <s v="Cash"/>
    <x v="53"/>
    <n v="10"/>
    <x v="2"/>
    <x v="48"/>
    <x v="2"/>
    <x v="5"/>
    <s v="Cash"/>
    <x v="107"/>
    <x v="2"/>
    <x v="22"/>
    <x v="5"/>
    <x v="0"/>
  </r>
  <r>
    <s v="Cash"/>
    <x v="54"/>
    <n v="30"/>
    <x v="2"/>
    <x v="49"/>
    <x v="2"/>
    <x v="5"/>
    <s v="Cash"/>
    <x v="107"/>
    <x v="2"/>
    <x v="22"/>
    <x v="5"/>
    <x v="0"/>
  </r>
  <r>
    <s v="Cash"/>
    <x v="55"/>
    <n v="2"/>
    <x v="2"/>
    <x v="50"/>
    <x v="3"/>
    <x v="2"/>
    <s v="Cash"/>
    <x v="107"/>
    <x v="2"/>
    <x v="22"/>
    <x v="3"/>
    <x v="0"/>
  </r>
  <r>
    <s v="Cash"/>
    <x v="56"/>
    <n v="10"/>
    <x v="2"/>
    <x v="51"/>
    <x v="3"/>
    <x v="2"/>
    <s v="Cash"/>
    <x v="107"/>
    <x v="2"/>
    <x v="22"/>
    <x v="3"/>
    <x v="0"/>
  </r>
  <r>
    <s v="Cash"/>
    <x v="57"/>
    <n v="2"/>
    <x v="2"/>
    <x v="52"/>
    <x v="3"/>
    <x v="0"/>
    <s v="Cash"/>
    <x v="107"/>
    <x v="2"/>
    <x v="22"/>
    <x v="3"/>
    <x v="0"/>
  </r>
  <r>
    <s v="Cash"/>
    <x v="58"/>
    <n v="15"/>
    <x v="2"/>
    <x v="53"/>
    <x v="3"/>
    <x v="0"/>
    <s v="Cash"/>
    <x v="107"/>
    <x v="2"/>
    <x v="22"/>
    <x v="3"/>
    <x v="0"/>
  </r>
  <r>
    <s v="Cash"/>
    <x v="59"/>
    <n v="5"/>
    <x v="2"/>
    <x v="54"/>
    <x v="3"/>
    <x v="4"/>
    <s v="Cash"/>
    <x v="107"/>
    <x v="2"/>
    <x v="22"/>
    <x v="3"/>
    <x v="0"/>
  </r>
  <r>
    <s v="Cash"/>
    <x v="60"/>
    <n v="20"/>
    <x v="2"/>
    <x v="55"/>
    <x v="3"/>
    <x v="4"/>
    <s v="Cash"/>
    <x v="107"/>
    <x v="2"/>
    <x v="22"/>
    <x v="3"/>
    <x v="0"/>
  </r>
  <r>
    <s v="Cash"/>
    <x v="61"/>
    <n v="10"/>
    <x v="2"/>
    <x v="56"/>
    <x v="3"/>
    <x v="5"/>
    <s v="Cash"/>
    <x v="107"/>
    <x v="2"/>
    <x v="22"/>
    <x v="3"/>
    <x v="0"/>
  </r>
  <r>
    <s v="Cash"/>
    <x v="62"/>
    <n v="30"/>
    <x v="2"/>
    <x v="57"/>
    <x v="3"/>
    <x v="5"/>
    <s v="Cash"/>
    <x v="107"/>
    <x v="2"/>
    <x v="22"/>
    <x v="3"/>
    <x v="0"/>
  </r>
  <r>
    <s v="FxExposure"/>
    <x v="1"/>
    <n v="1.1635"/>
    <x v="0"/>
    <x v="1"/>
    <x v="0"/>
    <x v="1"/>
    <s v="FxExposure"/>
    <x v="108"/>
    <x v="4"/>
    <x v="23"/>
    <x v="6"/>
    <x v="0"/>
  </r>
  <r>
    <s v="FxExposure"/>
    <x v="3"/>
    <n v="7.23"/>
    <x v="1"/>
    <x v="3"/>
    <x v="0"/>
    <x v="3"/>
    <s v="FxExposure"/>
    <x v="108"/>
    <x v="4"/>
    <x v="23"/>
    <x v="6"/>
    <x v="0"/>
  </r>
  <r>
    <s v="FxExposure"/>
    <x v="4"/>
    <n v="1.1000000000000001"/>
    <x v="1"/>
    <x v="4"/>
    <x v="0"/>
    <x v="4"/>
    <s v="FxExposure"/>
    <x v="108"/>
    <x v="4"/>
    <x v="23"/>
    <x v="6"/>
    <x v="0"/>
  </r>
  <r>
    <s v="FxExposure"/>
    <x v="5"/>
    <n v="61.521000000000001"/>
    <x v="0"/>
    <x v="5"/>
    <x v="0"/>
    <x v="4"/>
    <s v="FxExposure"/>
    <x v="108"/>
    <x v="4"/>
    <x v="23"/>
    <x v="6"/>
    <x v="0"/>
  </r>
  <r>
    <s v="FxExposure"/>
    <x v="7"/>
    <n v="18.310600000000001"/>
    <x v="0"/>
    <x v="7"/>
    <x v="0"/>
    <x v="4"/>
    <s v="FxExposure"/>
    <x v="108"/>
    <x v="4"/>
    <x v="23"/>
    <x v="6"/>
    <x v="0"/>
  </r>
  <r>
    <s v="FxExposure"/>
    <x v="8"/>
    <n v="14.7347"/>
    <x v="0"/>
    <x v="8"/>
    <x v="0"/>
    <x v="4"/>
    <s v="FxExposure"/>
    <x v="108"/>
    <x v="4"/>
    <x v="23"/>
    <x v="6"/>
    <x v="0"/>
  </r>
  <r>
    <s v="FxExposure"/>
    <x v="10"/>
    <n v="76.982500000000002"/>
    <x v="0"/>
    <x v="10"/>
    <x v="2"/>
    <x v="2"/>
    <s v="FxExposure"/>
    <x v="108"/>
    <x v="4"/>
    <x v="23"/>
    <x v="6"/>
    <x v="0"/>
  </r>
  <r>
    <s v="FxExposure"/>
    <x v="11"/>
    <n v="3.2073"/>
    <x v="0"/>
    <x v="11"/>
    <x v="3"/>
    <x v="4"/>
    <s v="FxExposure"/>
    <x v="108"/>
    <x v="4"/>
    <x v="23"/>
    <x v="6"/>
    <x v="0"/>
  </r>
  <r>
    <s v="FxExposure"/>
    <x v="6"/>
    <n v="-3.44"/>
    <x v="1"/>
    <x v="6"/>
    <x v="1"/>
    <x v="4"/>
    <s v="FxExposure"/>
    <x v="108"/>
    <x v="4"/>
    <x v="23"/>
    <x v="6"/>
    <x v="0"/>
  </r>
  <r>
    <s v="FxExposure"/>
    <x v="15"/>
    <n v="15.4704"/>
    <x v="0"/>
    <x v="7"/>
    <x v="1"/>
    <x v="4"/>
    <s v="FxExposure"/>
    <x v="108"/>
    <x v="4"/>
    <x v="23"/>
    <x v="6"/>
    <x v="0"/>
  </r>
  <r>
    <s v="FxExposure"/>
    <x v="16"/>
    <n v="23.3489"/>
    <x v="0"/>
    <x v="15"/>
    <x v="1"/>
    <x v="5"/>
    <s v="FxExposure"/>
    <x v="108"/>
    <x v="4"/>
    <x v="23"/>
    <x v="6"/>
    <x v="0"/>
  </r>
  <r>
    <s v="FxExposure"/>
    <x v="17"/>
    <n v="3.5491000000000001"/>
    <x v="0"/>
    <x v="5"/>
    <x v="3"/>
    <x v="6"/>
    <s v="FxExposure"/>
    <x v="108"/>
    <x v="4"/>
    <x v="23"/>
    <x v="6"/>
    <x v="0"/>
  </r>
  <r>
    <s v="FxExposure"/>
    <x v="20"/>
    <n v="79.214100000000002"/>
    <x v="0"/>
    <x v="8"/>
    <x v="0"/>
    <x v="4"/>
    <s v="FxExposure"/>
    <x v="108"/>
    <x v="4"/>
    <x v="23"/>
    <x v="6"/>
    <x v="0"/>
  </r>
  <r>
    <s v="FxExposure"/>
    <x v="21"/>
    <n v="52.905500000000004"/>
    <x v="0"/>
    <x v="8"/>
    <x v="0"/>
    <x v="4"/>
    <s v="FxExposure"/>
    <x v="108"/>
    <x v="4"/>
    <x v="23"/>
    <x v="6"/>
    <x v="0"/>
  </r>
  <r>
    <s v="FxExposure"/>
    <x v="22"/>
    <n v="8.2260000000000009"/>
    <x v="0"/>
    <x v="18"/>
    <x v="1"/>
    <x v="4"/>
    <s v="FxExposure"/>
    <x v="108"/>
    <x v="4"/>
    <x v="23"/>
    <x v="6"/>
    <x v="0"/>
  </r>
  <r>
    <s v="FxExposure"/>
    <x v="14"/>
    <n v="0.79330000000000001"/>
    <x v="0"/>
    <x v="14"/>
    <x v="0"/>
    <x v="4"/>
    <s v="FxExposure"/>
    <x v="108"/>
    <x v="4"/>
    <x v="23"/>
    <x v="6"/>
    <x v="0"/>
  </r>
  <r>
    <s v="FxExposure"/>
    <x v="26"/>
    <n v="34.817999999999998"/>
    <x v="0"/>
    <x v="21"/>
    <x v="1"/>
    <x v="5"/>
    <s v="FxExposure"/>
    <x v="108"/>
    <x v="4"/>
    <x v="23"/>
    <x v="6"/>
    <x v="0"/>
  </r>
  <r>
    <s v="FxExposure"/>
    <x v="0"/>
    <n v="4.2412999999999998"/>
    <x v="0"/>
    <x v="0"/>
    <x v="0"/>
    <x v="0"/>
    <s v="FxExposure"/>
    <x v="108"/>
    <x v="4"/>
    <x v="23"/>
    <x v="6"/>
    <x v="0"/>
  </r>
  <r>
    <s v="FxExposure"/>
    <x v="9"/>
    <n v="7.0697999999999999"/>
    <x v="0"/>
    <x v="9"/>
    <x v="0"/>
    <x v="4"/>
    <s v="FxExposure"/>
    <x v="108"/>
    <x v="4"/>
    <x v="23"/>
    <x v="6"/>
    <x v="0"/>
  </r>
  <r>
    <s v="FxExposure"/>
    <x v="23"/>
    <n v="2.2774000000000001"/>
    <x v="0"/>
    <x v="19"/>
    <x v="0"/>
    <x v="4"/>
    <s v="FxExposure"/>
    <x v="108"/>
    <x v="4"/>
    <x v="23"/>
    <x v="6"/>
    <x v="0"/>
  </r>
  <r>
    <s v="FxExposure"/>
    <x v="24"/>
    <n v="5.6132"/>
    <x v="0"/>
    <x v="20"/>
    <x v="0"/>
    <x v="7"/>
    <s v="FxExposure"/>
    <x v="108"/>
    <x v="4"/>
    <x v="23"/>
    <x v="6"/>
    <x v="0"/>
  </r>
  <r>
    <s v="FxExposure"/>
    <x v="27"/>
    <n v="79.687100000000001"/>
    <x v="0"/>
    <x v="22"/>
    <x v="1"/>
    <x v="8"/>
    <s v="FxExposure"/>
    <x v="108"/>
    <x v="4"/>
    <x v="23"/>
    <x v="6"/>
    <x v="0"/>
  </r>
  <r>
    <s v="FxExposure"/>
    <x v="29"/>
    <n v="0.04"/>
    <x v="1"/>
    <x v="24"/>
    <x v="1"/>
    <x v="6"/>
    <s v="FxExposure"/>
    <x v="108"/>
    <x v="4"/>
    <x v="23"/>
    <x v="6"/>
    <x v="0"/>
  </r>
  <r>
    <s v="FxExposure"/>
    <x v="30"/>
    <n v="92.849000000000004"/>
    <x v="0"/>
    <x v="25"/>
    <x v="0"/>
    <x v="2"/>
    <s v="FxExposure"/>
    <x v="108"/>
    <x v="4"/>
    <x v="23"/>
    <x v="6"/>
    <x v="0"/>
  </r>
  <r>
    <s v="FxExposure"/>
    <x v="31"/>
    <n v="10"/>
    <x v="2"/>
    <x v="26"/>
    <x v="1"/>
    <x v="2"/>
    <s v="FxExposure"/>
    <x v="108"/>
    <x v="4"/>
    <x v="23"/>
    <x v="6"/>
    <x v="0"/>
  </r>
  <r>
    <s v="FxExposure"/>
    <x v="32"/>
    <n v="10"/>
    <x v="2"/>
    <x v="27"/>
    <x v="1"/>
    <x v="2"/>
    <s v="FxExposure"/>
    <x v="108"/>
    <x v="4"/>
    <x v="23"/>
    <x v="6"/>
    <x v="0"/>
  </r>
  <r>
    <s v="FxExposure"/>
    <x v="33"/>
    <n v="10"/>
    <x v="2"/>
    <x v="28"/>
    <x v="1"/>
    <x v="0"/>
    <s v="FxExposure"/>
    <x v="108"/>
    <x v="4"/>
    <x v="23"/>
    <x v="6"/>
    <x v="0"/>
  </r>
  <r>
    <s v="FxExposure"/>
    <x v="34"/>
    <n v="5"/>
    <x v="2"/>
    <x v="29"/>
    <x v="1"/>
    <x v="0"/>
    <s v="FxExposure"/>
    <x v="108"/>
    <x v="4"/>
    <x v="23"/>
    <x v="6"/>
    <x v="0"/>
  </r>
  <r>
    <s v="FxExposure"/>
    <x v="35"/>
    <n v="1"/>
    <x v="2"/>
    <x v="30"/>
    <x v="1"/>
    <x v="4"/>
    <s v="FxExposure"/>
    <x v="108"/>
    <x v="4"/>
    <x v="23"/>
    <x v="6"/>
    <x v="0"/>
  </r>
  <r>
    <s v="FxExposure"/>
    <x v="36"/>
    <n v="-4"/>
    <x v="2"/>
    <x v="31"/>
    <x v="1"/>
    <x v="4"/>
    <s v="FxExposure"/>
    <x v="108"/>
    <x v="4"/>
    <x v="23"/>
    <x v="6"/>
    <x v="0"/>
  </r>
  <r>
    <s v="FxExposure"/>
    <x v="37"/>
    <n v="1"/>
    <x v="2"/>
    <x v="32"/>
    <x v="1"/>
    <x v="5"/>
    <s v="FxExposure"/>
    <x v="108"/>
    <x v="4"/>
    <x v="23"/>
    <x v="6"/>
    <x v="0"/>
  </r>
  <r>
    <s v="FxExposure"/>
    <x v="38"/>
    <n v="-12"/>
    <x v="2"/>
    <x v="33"/>
    <x v="1"/>
    <x v="5"/>
    <s v="FxExposure"/>
    <x v="108"/>
    <x v="4"/>
    <x v="23"/>
    <x v="6"/>
    <x v="0"/>
  </r>
  <r>
    <s v="FxExposure"/>
    <x v="47"/>
    <n v="15"/>
    <x v="2"/>
    <x v="42"/>
    <x v="2"/>
    <x v="2"/>
    <s v="FxExposure"/>
    <x v="108"/>
    <x v="4"/>
    <x v="23"/>
    <x v="6"/>
    <x v="0"/>
  </r>
  <r>
    <s v="FxExposure"/>
    <x v="48"/>
    <n v="10"/>
    <x v="2"/>
    <x v="43"/>
    <x v="2"/>
    <x v="2"/>
    <s v="FxExposure"/>
    <x v="108"/>
    <x v="4"/>
    <x v="23"/>
    <x v="6"/>
    <x v="0"/>
  </r>
  <r>
    <s v="FxExposure"/>
    <x v="49"/>
    <n v="15"/>
    <x v="2"/>
    <x v="44"/>
    <x v="2"/>
    <x v="0"/>
    <s v="FxExposure"/>
    <x v="108"/>
    <x v="4"/>
    <x v="23"/>
    <x v="6"/>
    <x v="0"/>
  </r>
  <r>
    <s v="FxExposure"/>
    <x v="50"/>
    <n v="5"/>
    <x v="2"/>
    <x v="45"/>
    <x v="2"/>
    <x v="0"/>
    <s v="FxExposure"/>
    <x v="108"/>
    <x v="4"/>
    <x v="23"/>
    <x v="6"/>
    <x v="0"/>
  </r>
  <r>
    <s v="FxExposure"/>
    <x v="51"/>
    <n v="6"/>
    <x v="2"/>
    <x v="46"/>
    <x v="2"/>
    <x v="4"/>
    <s v="FxExposure"/>
    <x v="108"/>
    <x v="4"/>
    <x v="23"/>
    <x v="6"/>
    <x v="0"/>
  </r>
  <r>
    <s v="FxExposure"/>
    <x v="52"/>
    <n v="-1"/>
    <x v="2"/>
    <x v="47"/>
    <x v="2"/>
    <x v="4"/>
    <s v="FxExposure"/>
    <x v="108"/>
    <x v="4"/>
    <x v="23"/>
    <x v="6"/>
    <x v="0"/>
  </r>
  <r>
    <s v="FxExposure"/>
    <x v="53"/>
    <n v="5"/>
    <x v="2"/>
    <x v="48"/>
    <x v="2"/>
    <x v="5"/>
    <s v="FxExposure"/>
    <x v="108"/>
    <x v="4"/>
    <x v="23"/>
    <x v="6"/>
    <x v="0"/>
  </r>
  <r>
    <s v="FxExposure"/>
    <x v="54"/>
    <n v="-8"/>
    <x v="2"/>
    <x v="49"/>
    <x v="2"/>
    <x v="5"/>
    <s v="FxExposure"/>
    <x v="108"/>
    <x v="4"/>
    <x v="23"/>
    <x v="6"/>
    <x v="0"/>
  </r>
  <r>
    <s v="FxExposure"/>
    <x v="55"/>
    <n v="4"/>
    <x v="2"/>
    <x v="50"/>
    <x v="3"/>
    <x v="2"/>
    <s v="FxExposure"/>
    <x v="108"/>
    <x v="4"/>
    <x v="23"/>
    <x v="6"/>
    <x v="0"/>
  </r>
  <r>
    <s v="FxExposure"/>
    <x v="56"/>
    <n v="8"/>
    <x v="2"/>
    <x v="51"/>
    <x v="3"/>
    <x v="2"/>
    <s v="FxExposure"/>
    <x v="108"/>
    <x v="4"/>
    <x v="23"/>
    <x v="6"/>
    <x v="0"/>
  </r>
  <r>
    <s v="FxExposure"/>
    <x v="57"/>
    <n v="5"/>
    <x v="2"/>
    <x v="52"/>
    <x v="3"/>
    <x v="0"/>
    <s v="FxExposure"/>
    <x v="108"/>
    <x v="4"/>
    <x v="23"/>
    <x v="6"/>
    <x v="0"/>
  </r>
  <r>
    <s v="FxExposure"/>
    <x v="58"/>
    <n v="5"/>
    <x v="2"/>
    <x v="53"/>
    <x v="3"/>
    <x v="0"/>
    <s v="FxExposure"/>
    <x v="108"/>
    <x v="4"/>
    <x v="23"/>
    <x v="6"/>
    <x v="0"/>
  </r>
  <r>
    <s v="FxExposure"/>
    <x v="59"/>
    <n v="-1"/>
    <x v="2"/>
    <x v="54"/>
    <x v="3"/>
    <x v="4"/>
    <s v="FxExposure"/>
    <x v="108"/>
    <x v="4"/>
    <x v="23"/>
    <x v="6"/>
    <x v="0"/>
  </r>
  <r>
    <s v="FxExposure"/>
    <x v="60"/>
    <n v="0"/>
    <x v="2"/>
    <x v="55"/>
    <x v="3"/>
    <x v="4"/>
    <s v="FxExposure"/>
    <x v="108"/>
    <x v="4"/>
    <x v="23"/>
    <x v="6"/>
    <x v="0"/>
  </r>
  <r>
    <s v="FxExposure"/>
    <x v="61"/>
    <n v="6"/>
    <x v="2"/>
    <x v="56"/>
    <x v="3"/>
    <x v="5"/>
    <s v="FxExposure"/>
    <x v="108"/>
    <x v="4"/>
    <x v="23"/>
    <x v="6"/>
    <x v="0"/>
  </r>
  <r>
    <s v="FxExposure"/>
    <x v="62"/>
    <n v="-1"/>
    <x v="2"/>
    <x v="57"/>
    <x v="3"/>
    <x v="5"/>
    <s v="FxExposure"/>
    <x v="108"/>
    <x v="4"/>
    <x v="23"/>
    <x v="6"/>
    <x v="0"/>
  </r>
  <r>
    <s v="FxExposure"/>
    <x v="39"/>
    <n v="5"/>
    <x v="2"/>
    <x v="34"/>
    <x v="0"/>
    <x v="2"/>
    <s v="FxExposure"/>
    <x v="108"/>
    <x v="4"/>
    <x v="23"/>
    <x v="6"/>
    <x v="0"/>
  </r>
  <r>
    <s v="FxExposure"/>
    <x v="40"/>
    <n v="4"/>
    <x v="2"/>
    <x v="35"/>
    <x v="0"/>
    <x v="2"/>
    <s v="FxExposure"/>
    <x v="108"/>
    <x v="4"/>
    <x v="23"/>
    <x v="6"/>
    <x v="0"/>
  </r>
  <r>
    <s v="FxExposure"/>
    <x v="41"/>
    <n v="4"/>
    <x v="2"/>
    <x v="36"/>
    <x v="0"/>
    <x v="0"/>
    <s v="FxExposure"/>
    <x v="108"/>
    <x v="4"/>
    <x v="23"/>
    <x v="6"/>
    <x v="0"/>
  </r>
  <r>
    <s v="FxExposure"/>
    <x v="42"/>
    <n v="3"/>
    <x v="2"/>
    <x v="37"/>
    <x v="0"/>
    <x v="0"/>
    <s v="FxExposure"/>
    <x v="108"/>
    <x v="4"/>
    <x v="23"/>
    <x v="6"/>
    <x v="0"/>
  </r>
  <r>
    <s v="FxExposure"/>
    <x v="43"/>
    <n v="3"/>
    <x v="2"/>
    <x v="38"/>
    <x v="0"/>
    <x v="4"/>
    <s v="FxExposure"/>
    <x v="108"/>
    <x v="4"/>
    <x v="23"/>
    <x v="6"/>
    <x v="0"/>
  </r>
  <r>
    <s v="FxExposure"/>
    <x v="44"/>
    <n v="3"/>
    <x v="2"/>
    <x v="39"/>
    <x v="0"/>
    <x v="4"/>
    <s v="FxExposure"/>
    <x v="108"/>
    <x v="4"/>
    <x v="23"/>
    <x v="6"/>
    <x v="0"/>
  </r>
  <r>
    <s v="FxExposure"/>
    <x v="45"/>
    <n v="2"/>
    <x v="2"/>
    <x v="40"/>
    <x v="0"/>
    <x v="5"/>
    <s v="FxExposure"/>
    <x v="108"/>
    <x v="4"/>
    <x v="23"/>
    <x v="6"/>
    <x v="0"/>
  </r>
  <r>
    <s v="FxExposure"/>
    <x v="46"/>
    <n v="2"/>
    <x v="2"/>
    <x v="41"/>
    <x v="0"/>
    <x v="5"/>
    <s v="FxExposure"/>
    <x v="108"/>
    <x v="4"/>
    <x v="23"/>
    <x v="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10" cacheId="0" applyNumberFormats="0" applyBorderFormats="0" applyFontFormats="0" applyPatternFormats="0" applyAlignmentFormats="0" applyWidthHeightFormats="1" dataCaption="Values" updatedVersion="6" minRefreshableVersion="3" rowGrandTotals="0" colGrandTotals="0" itemPrintTitles="1" createdVersion="4" indent="0" showHeaders="0" outline="1" outlineData="1" multipleFieldFilters="0" fieldListSortAscending="1">
  <location ref="A5:S56" firstHeaderRow="1" firstDataRow="3" firstDataCol="4" rowPageCount="3" colPageCount="1"/>
  <pivotFields count="13">
    <pivotField showAll="0"/>
    <pivotField axis="axisCol" showAll="0" defaultSubtotal="0">
      <items count="66"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11"/>
        <item x="22"/>
        <item x="1"/>
        <item x="2"/>
        <item x="26"/>
        <item x="9"/>
        <item x="23"/>
        <item x="0"/>
        <item x="15"/>
        <item x="16"/>
        <item x="5"/>
        <item x="17"/>
        <item x="24"/>
        <item x="30"/>
        <item x="65"/>
        <item x="10"/>
        <item x="3"/>
        <item x="4"/>
        <item sd="0" x="6"/>
        <item x="12"/>
        <item x="28"/>
        <item x="29"/>
        <item x="63"/>
        <item x="7"/>
        <item x="8"/>
        <item x="13"/>
        <item x="14"/>
        <item x="18"/>
        <item x="19"/>
        <item x="20"/>
        <item x="21"/>
        <item x="25"/>
        <item x="27"/>
        <item x="64"/>
      </items>
    </pivotField>
    <pivotField dataField="1" showAll="0"/>
    <pivotField axis="axisPage" multipleItemSelectionAllowed="1" showAll="0" defaultSubtotal="0">
      <items count="3">
        <item x="2"/>
        <item x="0"/>
        <item x="1"/>
      </items>
    </pivotField>
    <pivotField axis="axisCol" showAll="0" defaultSubtotal="0">
      <items count="61"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0"/>
        <item x="9"/>
        <item x="11"/>
        <item x="20"/>
        <item x="18"/>
        <item x="7"/>
        <item x="15"/>
        <item x="1"/>
        <item x="60"/>
        <item x="10"/>
        <item x="5"/>
        <item x="25"/>
        <item x="21"/>
        <item x="19"/>
        <item x="2"/>
        <item x="3"/>
        <item x="4"/>
        <item x="6"/>
        <item x="12"/>
        <item x="23"/>
        <item x="24"/>
        <item x="58"/>
        <item x="8"/>
        <item x="13"/>
        <item x="14"/>
        <item x="16"/>
        <item x="17"/>
        <item x="22"/>
        <item x="59"/>
      </items>
    </pivotField>
    <pivotField axis="axisPage" showAll="0">
      <items count="5">
        <item x="1"/>
        <item x="0"/>
        <item x="2"/>
        <item x="3"/>
        <item t="default"/>
      </items>
    </pivotField>
    <pivotField axis="axisPage" multipleItemSelectionAllowed="1" showAll="0">
      <items count="10">
        <item h="1" x="6"/>
        <item h="1" x="2"/>
        <item h="1" x="0"/>
        <item x="4"/>
        <item h="1" x="5"/>
        <item h="1" x="7"/>
        <item h="1" x="3"/>
        <item h="1" x="1"/>
        <item h="1" x="8"/>
        <item t="default"/>
      </items>
    </pivotField>
    <pivotField showAll="0"/>
    <pivotField axis="axisRow" outline="0" showAll="0" defaultSubtotal="0">
      <items count="113">
        <item x="92"/>
        <item x="13"/>
        <item x="11"/>
        <item x="23"/>
        <item x="21"/>
        <item x="1"/>
        <item x="68"/>
        <item x="69"/>
        <item x="58"/>
        <item x="7"/>
        <item x="93"/>
        <item x="55"/>
        <item x="107"/>
        <item x="70"/>
        <item x="71"/>
        <item x="12"/>
        <item x="72"/>
        <item x="64"/>
        <item x="65"/>
        <item x="73"/>
        <item x="63"/>
        <item m="1" x="110"/>
        <item m="1" x="111"/>
        <item m="1" x="112"/>
        <item x="22"/>
        <item x="20"/>
        <item x="67"/>
        <item x="44"/>
        <item x="33"/>
        <item x="103"/>
        <item x="74"/>
        <item x="41"/>
        <item x="40"/>
        <item x="75"/>
        <item x="42"/>
        <item x="94"/>
        <item x="43"/>
        <item x="15"/>
        <item x="14"/>
        <item x="52"/>
        <item x="96"/>
        <item x="54"/>
        <item x="38"/>
        <item x="85"/>
        <item x="86"/>
        <item x="87"/>
        <item x="19"/>
        <item x="76"/>
        <item x="49"/>
        <item x="97"/>
        <item x="98"/>
        <item x="99"/>
        <item x="48"/>
        <item x="45"/>
        <item x="46"/>
        <item x="47"/>
        <item x="16"/>
        <item x="9"/>
        <item x="88"/>
        <item x="83"/>
        <item x="10"/>
        <item x="37"/>
        <item x="35"/>
        <item x="90"/>
        <item x="3"/>
        <item x="100"/>
        <item x="101"/>
        <item x="102"/>
        <item x="78"/>
        <item x="77"/>
        <item x="79"/>
        <item x="66"/>
        <item x="80"/>
        <item x="81"/>
        <item x="82"/>
        <item x="61"/>
        <item x="60"/>
        <item x="17"/>
        <item x="18"/>
        <item m="1" x="109"/>
        <item x="2"/>
        <item x="104"/>
        <item x="105"/>
        <item x="106"/>
        <item x="0"/>
        <item x="6"/>
        <item x="8"/>
        <item sd="0" x="108"/>
        <item x="4"/>
        <item x="5"/>
        <item x="24"/>
        <item x="25"/>
        <item x="28"/>
        <item x="29"/>
        <item x="30"/>
        <item x="31"/>
        <item x="32"/>
        <item x="34"/>
        <item x="36"/>
        <item x="59"/>
        <item x="62"/>
        <item x="89"/>
        <item x="39"/>
        <item x="84"/>
        <item x="95"/>
        <item x="50"/>
        <item x="51"/>
        <item x="26"/>
        <item x="27"/>
        <item x="53"/>
        <item x="56"/>
        <item x="57"/>
        <item x="9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>
      <items count="8">
        <item x="2"/>
        <item x="3"/>
        <item x="0"/>
        <item x="1"/>
        <item x="4"/>
        <item x="5"/>
        <item x="6"/>
        <item t="default"/>
      </items>
    </pivotField>
    <pivotField axis="axisRow" outline="0" showAll="0" defaultSubtotal="0">
      <items count="24">
        <item x="16"/>
        <item x="19"/>
        <item x="8"/>
        <item x="10"/>
        <item x="9"/>
        <item x="22"/>
        <item x="17"/>
        <item x="13"/>
        <item x="11"/>
        <item x="14"/>
        <item x="6"/>
        <item x="2"/>
        <item x="12"/>
        <item x="21"/>
        <item x="5"/>
        <item x="23"/>
        <item x="7"/>
        <item x="4"/>
        <item x="15"/>
        <item x="1"/>
        <item x="3"/>
        <item x="18"/>
        <item x="20"/>
        <item sd="0" x="0"/>
      </items>
    </pivotField>
    <pivotField axis="axisRow" outline="0" showAll="0">
      <items count="8">
        <item x="4"/>
        <item x="1"/>
        <item x="2"/>
        <item x="0"/>
        <item x="5"/>
        <item x="3"/>
        <item x="6"/>
        <item t="default"/>
      </items>
    </pivotField>
    <pivotField showAll="0"/>
  </pivotFields>
  <rowFields count="4">
    <field x="9"/>
    <field x="10"/>
    <field x="8"/>
    <field x="11"/>
  </rowFields>
  <rowItems count="49">
    <i>
      <x/>
      <x v="5"/>
      <x v="12"/>
      <x v="3"/>
    </i>
    <i t="default">
      <x/>
    </i>
    <i>
      <x v="1"/>
      <x v="6"/>
      <x v="18"/>
      <x v="3"/>
    </i>
    <i r="1">
      <x v="7"/>
      <x v="39"/>
      <x v="3"/>
    </i>
    <i r="2">
      <x v="41"/>
      <x v="3"/>
    </i>
    <i r="2">
      <x v="50"/>
      <x v="3"/>
    </i>
    <i r="1">
      <x v="8"/>
      <x v="54"/>
      <x v="3"/>
    </i>
    <i r="1">
      <x v="9"/>
      <x v="8"/>
      <x v="3"/>
    </i>
    <i r="1">
      <x v="10"/>
      <x v="24"/>
      <x v="3"/>
    </i>
    <i r="1">
      <x v="21"/>
      <x/>
      <x v="3"/>
    </i>
    <i r="2">
      <x v="16"/>
      <x v="5"/>
    </i>
    <i r="2">
      <x v="19"/>
      <x v="5"/>
    </i>
    <i r="2">
      <x v="59"/>
      <x v="5"/>
    </i>
    <i r="2">
      <x v="65"/>
      <x v="3"/>
    </i>
    <i r="2">
      <x v="74"/>
      <x v="5"/>
    </i>
    <i t="default">
      <x v="1"/>
    </i>
    <i>
      <x v="2"/>
      <x/>
      <x v="17"/>
      <x v="3"/>
    </i>
    <i r="1">
      <x v="1"/>
      <x v="33"/>
      <x v="5"/>
    </i>
    <i r="1">
      <x v="2"/>
      <x v="10"/>
      <x v="3"/>
    </i>
    <i r="2">
      <x v="31"/>
      <x v="3"/>
    </i>
    <i r="1">
      <x v="3"/>
      <x v="27"/>
      <x v="3"/>
    </i>
    <i r="2">
      <x v="36"/>
      <x v="3"/>
    </i>
    <i r="1">
      <x v="4"/>
      <x v="40"/>
      <x v="3"/>
    </i>
    <i r="2">
      <x v="102"/>
      <x v="4"/>
    </i>
    <i r="1">
      <x v="13"/>
      <x v="35"/>
      <x v="5"/>
    </i>
    <i r="1">
      <x v="20"/>
      <x v="78"/>
      <x v="3"/>
    </i>
    <i r="1">
      <x v="23"/>
    </i>
    <i t="default">
      <x v="2"/>
    </i>
    <i>
      <x v="3"/>
      <x v="11"/>
      <x v="28"/>
      <x v="3"/>
    </i>
    <i r="2">
      <x v="58"/>
      <x v="5"/>
    </i>
    <i r="2">
      <x v="82"/>
      <x v="3"/>
    </i>
    <i r="2">
      <x v="85"/>
      <x v="2"/>
    </i>
    <i r="2">
      <x v="89"/>
      <x v="2"/>
    </i>
    <i r="1">
      <x v="12"/>
      <x v="48"/>
      <x v="3"/>
    </i>
    <i r="2">
      <x v="76"/>
      <x v="3"/>
    </i>
    <i r="2">
      <x v="100"/>
      <x v="3"/>
    </i>
    <i r="1">
      <x v="14"/>
      <x v="11"/>
      <x v="3"/>
    </i>
    <i r="2">
      <x v="25"/>
      <x v="3"/>
    </i>
    <i r="1">
      <x v="18"/>
      <x v="20"/>
      <x v="3"/>
    </i>
    <i r="1">
      <x v="19"/>
      <x v="43"/>
      <x v="3"/>
    </i>
    <i r="2">
      <x v="44"/>
      <x v="3"/>
    </i>
    <i r="2">
      <x v="45"/>
      <x v="3"/>
    </i>
    <i r="2">
      <x v="103"/>
      <x v="3"/>
    </i>
    <i r="1">
      <x v="22"/>
      <x v="66"/>
      <x v="3"/>
    </i>
    <i t="default">
      <x v="3"/>
    </i>
    <i>
      <x v="4"/>
      <x v="15"/>
      <x v="87"/>
    </i>
    <i t="default">
      <x v="4"/>
    </i>
    <i>
      <x v="6"/>
      <x v="16"/>
      <x v="104"/>
      <x v="5"/>
    </i>
    <i t="default">
      <x v="6"/>
    </i>
  </rowItems>
  <colFields count="2">
    <field x="1"/>
    <field x="4"/>
  </colFields>
  <colItems count="15">
    <i>
      <x v="12"/>
      <x v="12"/>
    </i>
    <i>
      <x v="13"/>
      <x v="13"/>
    </i>
    <i>
      <x v="37"/>
      <x v="33"/>
    </i>
    <i>
      <x v="38"/>
      <x v="45"/>
    </i>
    <i>
      <x v="42"/>
      <x v="42"/>
    </i>
    <i>
      <x v="49"/>
      <x v="48"/>
    </i>
    <i>
      <x v="51"/>
      <x v="50"/>
    </i>
    <i>
      <x v="55"/>
      <x v="37"/>
    </i>
    <i>
      <x v="56"/>
      <x v="54"/>
    </i>
    <i>
      <x v="57"/>
      <x v="55"/>
    </i>
    <i>
      <x v="58"/>
      <x v="56"/>
    </i>
    <i>
      <x v="59"/>
      <x v="57"/>
    </i>
    <i>
      <x v="61"/>
      <x v="54"/>
    </i>
    <i>
      <x v="62"/>
      <x v="54"/>
    </i>
    <i>
      <x v="63"/>
      <x v="37"/>
    </i>
  </colItems>
  <pageFields count="3">
    <pageField fld="5" item="1" hier="-1"/>
    <pageField fld="6" hier="-1"/>
    <pageField fld="3" hier="-1"/>
  </pageFields>
  <dataFields count="1">
    <dataField name="Sum of Weight" fld="2" baseField="10" baseItem="3" numFmtId="165"/>
  </dataFields>
  <formats count="10">
    <format dxfId="9">
      <pivotArea field="9" type="button" dataOnly="0" labelOnly="1" outline="0" axis="axisRow" fieldPosition="0"/>
    </format>
    <format dxfId="8">
      <pivotArea field="10" type="button" dataOnly="0" labelOnly="1" outline="0" axis="axisRow" fieldPosition="1"/>
    </format>
    <format dxfId="7">
      <pivotArea field="8" type="button" dataOnly="0" labelOnly="1" outline="0" axis="axisRow" fieldPosition="2"/>
    </format>
    <format dxfId="6">
      <pivotArea field="11" type="button" dataOnly="0" labelOnly="1" outline="0" axis="axisRow" fieldPosition="3"/>
    </format>
    <format dxfId="5">
      <pivotArea dataOnly="0" labelOnly="1" fieldPosition="0">
        <references count="1">
          <reference field="1" count="4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</reference>
        </references>
      </pivotArea>
    </format>
    <format dxfId="4">
      <pivotArea dataOnly="0" labelOnly="1" fieldPosition="0">
        <references count="1">
          <reference field="1" count="6">
            <x v="42"/>
            <x v="43"/>
            <x v="44"/>
            <x v="45"/>
            <x v="46"/>
            <x v="47"/>
          </reference>
        </references>
      </pivotArea>
    </format>
    <format dxfId="3">
      <pivotArea dataOnly="0" labelOnly="1" grandCol="1" outline="0" fieldPosition="0"/>
    </format>
    <format dxfId="2">
      <pivotArea dataOnly="0" labelOnly="1" fieldPosition="0">
        <references count="2">
          <reference field="1" count="1" selected="0">
            <x v="10"/>
          </reference>
          <reference field="4" count="1">
            <x v="10"/>
          </reference>
        </references>
      </pivotArea>
    </format>
    <format dxfId="1">
      <pivotArea dataOnly="0" labelOnly="1" fieldPosition="0">
        <references count="2">
          <reference field="1" count="1" selected="0">
            <x v="11"/>
          </reference>
          <reference field="4" count="1">
            <x v="11"/>
          </reference>
        </references>
      </pivotArea>
    </format>
    <format dxfId="0">
      <pivotArea dataOnly="0" labelOnly="1" fieldPosition="0">
        <references count="2">
          <reference field="1" count="1" selected="0">
            <x v="39"/>
          </reference>
          <reference field="4" count="1">
            <x v="3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9"/>
  <sheetViews>
    <sheetView tabSelected="1" workbookViewId="0">
      <selection activeCell="T39" sqref="T39"/>
    </sheetView>
  </sheetViews>
  <sheetFormatPr defaultRowHeight="15" outlineLevelCol="1" x14ac:dyDescent="0.25"/>
  <cols>
    <col min="1" max="1" width="11.85546875" bestFit="1" customWidth="1"/>
    <col min="2" max="2" width="20.85546875" style="1" bestFit="1" customWidth="1"/>
    <col min="3" max="3" width="26" style="1" hidden="1" customWidth="1" outlineLevel="1"/>
    <col min="4" max="4" width="29.42578125" bestFit="1" customWidth="1" collapsed="1"/>
    <col min="5" max="5" width="7.5703125" style="3" customWidth="1"/>
    <col min="6" max="13" width="9.5703125" style="58" customWidth="1"/>
  </cols>
  <sheetData>
    <row r="1" spans="1:16" s="1" customFormat="1" ht="15.75" thickBot="1" x14ac:dyDescent="0.3">
      <c r="A1" s="35"/>
      <c r="B1" s="35"/>
      <c r="C1" s="35"/>
      <c r="D1" s="35"/>
      <c r="E1" s="36"/>
      <c r="F1" s="87" t="s">
        <v>13</v>
      </c>
      <c r="G1" s="88"/>
      <c r="H1" s="88"/>
      <c r="I1" s="88"/>
      <c r="J1" s="88"/>
      <c r="K1" s="88"/>
      <c r="L1" s="88"/>
      <c r="M1" s="89"/>
    </row>
    <row r="2" spans="1:16" x14ac:dyDescent="0.25">
      <c r="A2" s="23"/>
      <c r="B2" s="24"/>
      <c r="C2" s="24"/>
      <c r="D2" s="24"/>
      <c r="E2" s="24"/>
      <c r="F2" s="85" t="s">
        <v>15</v>
      </c>
      <c r="G2" s="86"/>
      <c r="H2" s="85" t="s">
        <v>14</v>
      </c>
      <c r="I2" s="86"/>
      <c r="J2" s="85" t="s">
        <v>16</v>
      </c>
      <c r="K2" s="86"/>
      <c r="L2" s="85" t="s">
        <v>17</v>
      </c>
      <c r="M2" s="86"/>
    </row>
    <row r="3" spans="1:16" ht="15.75" thickBot="1" x14ac:dyDescent="0.3">
      <c r="A3" s="25" t="s">
        <v>37</v>
      </c>
      <c r="B3" s="26" t="s">
        <v>38</v>
      </c>
      <c r="C3" s="26" t="s">
        <v>117</v>
      </c>
      <c r="D3" s="26" t="s">
        <v>18</v>
      </c>
      <c r="E3" s="26" t="s">
        <v>118</v>
      </c>
      <c r="F3" s="37" t="s">
        <v>12</v>
      </c>
      <c r="G3" s="38" t="s">
        <v>11</v>
      </c>
      <c r="H3" s="37" t="s">
        <v>12</v>
      </c>
      <c r="I3" s="38" t="s">
        <v>11</v>
      </c>
      <c r="J3" s="37" t="s">
        <v>12</v>
      </c>
      <c r="K3" s="38" t="s">
        <v>11</v>
      </c>
      <c r="L3" s="37" t="s">
        <v>12</v>
      </c>
      <c r="M3" s="38" t="s">
        <v>11</v>
      </c>
    </row>
    <row r="4" spans="1:16" x14ac:dyDescent="0.25">
      <c r="F4" s="39"/>
      <c r="G4" s="40"/>
      <c r="H4" s="39"/>
      <c r="I4" s="40"/>
      <c r="J4" s="39"/>
      <c r="K4" s="40"/>
      <c r="L4" s="39"/>
      <c r="M4" s="40"/>
    </row>
    <row r="5" spans="1:16" x14ac:dyDescent="0.25">
      <c r="A5" s="7" t="s">
        <v>0</v>
      </c>
      <c r="B5" s="7"/>
      <c r="C5" s="7"/>
      <c r="D5" s="8"/>
      <c r="E5" s="8"/>
      <c r="F5" s="41">
        <f t="shared" ref="F5" si="0">SUM(F6)</f>
        <v>10</v>
      </c>
      <c r="G5" s="42">
        <f t="shared" ref="G5:M5" si="1">SUM(G6)</f>
        <v>28</v>
      </c>
      <c r="H5" s="41">
        <f t="shared" si="1"/>
        <v>5</v>
      </c>
      <c r="I5" s="42">
        <f t="shared" si="1"/>
        <v>18</v>
      </c>
      <c r="J5" s="41">
        <f t="shared" si="1"/>
        <v>2</v>
      </c>
      <c r="K5" s="42">
        <f t="shared" si="1"/>
        <v>13</v>
      </c>
      <c r="L5" s="41">
        <f t="shared" si="1"/>
        <v>2</v>
      </c>
      <c r="M5" s="42">
        <f t="shared" si="1"/>
        <v>8</v>
      </c>
      <c r="P5" s="3"/>
    </row>
    <row r="6" spans="1:16" x14ac:dyDescent="0.25">
      <c r="A6" s="10"/>
      <c r="B6" s="11" t="s">
        <v>1</v>
      </c>
      <c r="C6" s="11" t="s">
        <v>1</v>
      </c>
      <c r="D6" s="12" t="s">
        <v>1</v>
      </c>
      <c r="E6" s="12" t="s">
        <v>24</v>
      </c>
      <c r="F6" s="43">
        <v>10</v>
      </c>
      <c r="G6" s="44">
        <v>28</v>
      </c>
      <c r="H6" s="43">
        <v>5</v>
      </c>
      <c r="I6" s="44">
        <v>18</v>
      </c>
      <c r="J6" s="43">
        <v>2</v>
      </c>
      <c r="K6" s="44">
        <v>13</v>
      </c>
      <c r="L6" s="43">
        <v>2</v>
      </c>
      <c r="M6" s="44">
        <v>8</v>
      </c>
      <c r="P6" s="3"/>
    </row>
    <row r="7" spans="1:16" x14ac:dyDescent="0.25">
      <c r="A7" s="1"/>
      <c r="D7" s="1"/>
      <c r="F7" s="39"/>
      <c r="G7" s="40"/>
      <c r="H7" s="39"/>
      <c r="I7" s="40"/>
      <c r="J7" s="39"/>
      <c r="K7" s="40"/>
      <c r="L7" s="39"/>
      <c r="M7" s="40"/>
      <c r="P7" s="3"/>
    </row>
    <row r="8" spans="1:16" x14ac:dyDescent="0.25">
      <c r="A8" s="7" t="s">
        <v>2</v>
      </c>
      <c r="B8" s="7"/>
      <c r="C8" s="7"/>
      <c r="D8" s="8"/>
      <c r="E8" s="9"/>
      <c r="F8" s="41">
        <f t="shared" ref="F8" si="2">SUM(F9:F15)</f>
        <v>20</v>
      </c>
      <c r="G8" s="42">
        <f>SUM(G9:G15)</f>
        <v>17</v>
      </c>
      <c r="H8" s="41">
        <f t="shared" ref="H8:M8" si="3">SUM(H9:H15)</f>
        <v>30</v>
      </c>
      <c r="I8" s="42">
        <f t="shared" si="3"/>
        <v>23</v>
      </c>
      <c r="J8" s="41">
        <f t="shared" si="3"/>
        <v>50</v>
      </c>
      <c r="K8" s="42">
        <f t="shared" si="3"/>
        <v>42</v>
      </c>
      <c r="L8" s="41">
        <f t="shared" si="3"/>
        <v>70</v>
      </c>
      <c r="M8" s="42">
        <f t="shared" si="3"/>
        <v>58</v>
      </c>
      <c r="P8" s="3"/>
    </row>
    <row r="9" spans="1:16" x14ac:dyDescent="0.25">
      <c r="A9" s="4"/>
      <c r="B9" s="4" t="s">
        <v>19</v>
      </c>
      <c r="C9" t="s">
        <v>39</v>
      </c>
      <c r="D9" s="4" t="s">
        <v>66</v>
      </c>
      <c r="E9" s="5" t="s">
        <v>24</v>
      </c>
      <c r="F9" s="45">
        <v>16</v>
      </c>
      <c r="G9" s="46">
        <v>15</v>
      </c>
      <c r="H9" s="45">
        <v>23</v>
      </c>
      <c r="I9" s="46">
        <v>18</v>
      </c>
      <c r="J9" s="45">
        <v>40</v>
      </c>
      <c r="K9" s="46">
        <v>34</v>
      </c>
      <c r="L9" s="45">
        <v>57</v>
      </c>
      <c r="M9" s="46">
        <v>47</v>
      </c>
      <c r="P9" s="3"/>
    </row>
    <row r="10" spans="1:16" x14ac:dyDescent="0.25">
      <c r="A10" s="4"/>
      <c r="B10" s="4" t="s">
        <v>3</v>
      </c>
      <c r="C10" s="3" t="s">
        <v>63</v>
      </c>
      <c r="D10" s="4" t="s">
        <v>67</v>
      </c>
      <c r="E10" s="5" t="s">
        <v>24</v>
      </c>
      <c r="F10" s="45">
        <v>0</v>
      </c>
      <c r="G10" s="46">
        <v>0</v>
      </c>
      <c r="H10" s="45">
        <v>0</v>
      </c>
      <c r="I10" s="46">
        <v>0</v>
      </c>
      <c r="J10" s="45">
        <v>0</v>
      </c>
      <c r="K10" s="46">
        <v>0</v>
      </c>
      <c r="L10" s="45">
        <v>0</v>
      </c>
      <c r="M10" s="46">
        <v>0</v>
      </c>
      <c r="P10" s="3"/>
    </row>
    <row r="11" spans="1:16" x14ac:dyDescent="0.25">
      <c r="A11" s="4"/>
      <c r="B11" s="4" t="s">
        <v>4</v>
      </c>
      <c r="C11" t="s">
        <v>41</v>
      </c>
      <c r="D11" s="4" t="s">
        <v>68</v>
      </c>
      <c r="E11" s="5" t="s">
        <v>24</v>
      </c>
      <c r="F11" s="45">
        <v>2</v>
      </c>
      <c r="G11" s="46">
        <v>0</v>
      </c>
      <c r="H11" s="45">
        <v>2</v>
      </c>
      <c r="I11" s="46">
        <v>0</v>
      </c>
      <c r="J11" s="45">
        <v>4</v>
      </c>
      <c r="K11" s="46">
        <v>3</v>
      </c>
      <c r="L11" s="45">
        <v>5</v>
      </c>
      <c r="M11" s="46">
        <v>4</v>
      </c>
      <c r="P11" s="3"/>
    </row>
    <row r="12" spans="1:16" s="3" customFormat="1" x14ac:dyDescent="0.25">
      <c r="A12" s="4"/>
      <c r="B12" s="4" t="s">
        <v>57</v>
      </c>
      <c r="C12" s="3" t="s">
        <v>58</v>
      </c>
      <c r="D12" s="4" t="s">
        <v>69</v>
      </c>
      <c r="E12" s="5" t="s">
        <v>34</v>
      </c>
      <c r="F12" s="45">
        <v>2</v>
      </c>
      <c r="G12" s="46">
        <v>2</v>
      </c>
      <c r="H12" s="45">
        <v>3</v>
      </c>
      <c r="I12" s="46">
        <v>3</v>
      </c>
      <c r="J12" s="45">
        <v>4</v>
      </c>
      <c r="K12" s="46">
        <v>3</v>
      </c>
      <c r="L12" s="45">
        <v>5</v>
      </c>
      <c r="M12" s="46">
        <v>4</v>
      </c>
    </row>
    <row r="13" spans="1:16" x14ac:dyDescent="0.25">
      <c r="A13" s="4"/>
      <c r="B13" s="4" t="s">
        <v>5</v>
      </c>
      <c r="C13" t="s">
        <v>59</v>
      </c>
      <c r="D13" s="4" t="s">
        <v>70</v>
      </c>
      <c r="E13" s="5" t="s">
        <v>24</v>
      </c>
      <c r="F13" s="45">
        <v>0</v>
      </c>
      <c r="G13" s="46">
        <v>0</v>
      </c>
      <c r="H13" s="45">
        <v>0</v>
      </c>
      <c r="I13" s="46">
        <v>0</v>
      </c>
      <c r="J13" s="45">
        <v>0</v>
      </c>
      <c r="K13" s="46">
        <v>0</v>
      </c>
      <c r="L13" s="45">
        <v>0</v>
      </c>
      <c r="M13" s="46">
        <v>0</v>
      </c>
      <c r="P13" s="3"/>
    </row>
    <row r="14" spans="1:16" x14ac:dyDescent="0.25">
      <c r="A14" s="4"/>
      <c r="B14" s="4" t="s">
        <v>20</v>
      </c>
      <c r="C14" t="s">
        <v>42</v>
      </c>
      <c r="D14" s="4" t="s">
        <v>71</v>
      </c>
      <c r="E14" s="5" t="s">
        <v>24</v>
      </c>
      <c r="F14" s="45">
        <v>0</v>
      </c>
      <c r="G14" s="46">
        <v>0</v>
      </c>
      <c r="H14" s="45">
        <v>2</v>
      </c>
      <c r="I14" s="46">
        <v>2</v>
      </c>
      <c r="J14" s="45">
        <v>2</v>
      </c>
      <c r="K14" s="46">
        <v>2</v>
      </c>
      <c r="L14" s="45">
        <v>3</v>
      </c>
      <c r="M14" s="46">
        <v>3</v>
      </c>
      <c r="P14" s="3"/>
    </row>
    <row r="15" spans="1:16" x14ac:dyDescent="0.25">
      <c r="A15" s="4"/>
      <c r="B15" s="4" t="s">
        <v>21</v>
      </c>
      <c r="C15" s="3" t="s">
        <v>21</v>
      </c>
      <c r="D15" s="4" t="s">
        <v>21</v>
      </c>
      <c r="E15" s="5" t="s">
        <v>24</v>
      </c>
      <c r="F15" s="47"/>
      <c r="G15" s="48"/>
      <c r="H15" s="47"/>
      <c r="I15" s="48"/>
      <c r="J15" s="47"/>
      <c r="K15" s="48"/>
      <c r="L15" s="47"/>
      <c r="M15" s="48"/>
      <c r="P15" s="3"/>
    </row>
    <row r="16" spans="1:16" x14ac:dyDescent="0.25">
      <c r="A16" s="4"/>
      <c r="B16" s="4"/>
      <c r="D16" s="4"/>
      <c r="F16" s="39"/>
      <c r="G16" s="40"/>
      <c r="H16" s="39"/>
      <c r="I16" s="40"/>
      <c r="J16" s="39"/>
      <c r="K16" s="40"/>
      <c r="L16" s="39"/>
      <c r="M16" s="40"/>
      <c r="P16" s="3"/>
    </row>
    <row r="17" spans="1:16" x14ac:dyDescent="0.25">
      <c r="A17" s="7" t="s">
        <v>6</v>
      </c>
      <c r="B17" s="7"/>
      <c r="C17" s="7"/>
      <c r="D17" s="7"/>
      <c r="E17" s="8"/>
      <c r="F17" s="41">
        <f t="shared" ref="F17" si="4">SUM(F18:F25)</f>
        <v>60</v>
      </c>
      <c r="G17" s="42">
        <f t="shared" ref="G17:M17" si="5">SUM(G18:G25)</f>
        <v>42</v>
      </c>
      <c r="H17" s="41">
        <f t="shared" si="5"/>
        <v>45</v>
      </c>
      <c r="I17" s="42">
        <f t="shared" si="5"/>
        <v>38</v>
      </c>
      <c r="J17" s="41">
        <f t="shared" si="5"/>
        <v>31</v>
      </c>
      <c r="K17" s="42">
        <f t="shared" si="5"/>
        <v>22</v>
      </c>
      <c r="L17" s="41">
        <f t="shared" si="5"/>
        <v>13</v>
      </c>
      <c r="M17" s="42">
        <f t="shared" si="5"/>
        <v>13</v>
      </c>
      <c r="P17" s="3"/>
    </row>
    <row r="18" spans="1:16" x14ac:dyDescent="0.25">
      <c r="A18" s="13"/>
      <c r="B18" s="13" t="s">
        <v>22</v>
      </c>
      <c r="C18" s="14" t="s">
        <v>43</v>
      </c>
      <c r="D18" s="13" t="s">
        <v>72</v>
      </c>
      <c r="E18" s="15" t="s">
        <v>24</v>
      </c>
      <c r="F18" s="49">
        <v>48</v>
      </c>
      <c r="G18" s="50">
        <v>32</v>
      </c>
      <c r="H18" s="49">
        <v>31</v>
      </c>
      <c r="I18" s="50">
        <v>25</v>
      </c>
      <c r="J18" s="49">
        <v>25</v>
      </c>
      <c r="K18" s="50">
        <v>16</v>
      </c>
      <c r="L18" s="49">
        <v>8</v>
      </c>
      <c r="M18" s="50">
        <v>8</v>
      </c>
      <c r="P18" s="3"/>
    </row>
    <row r="19" spans="1:16" x14ac:dyDescent="0.25">
      <c r="A19" s="16"/>
      <c r="B19" s="16" t="s">
        <v>8</v>
      </c>
      <c r="C19" s="29" t="s">
        <v>44</v>
      </c>
      <c r="D19" s="16" t="s">
        <v>73</v>
      </c>
      <c r="E19" s="18" t="s">
        <v>24</v>
      </c>
      <c r="F19" s="45">
        <v>3</v>
      </c>
      <c r="G19" s="46">
        <v>0</v>
      </c>
      <c r="H19" s="45">
        <v>0</v>
      </c>
      <c r="I19" s="46">
        <v>0</v>
      </c>
      <c r="J19" s="45">
        <v>0</v>
      </c>
      <c r="K19" s="46">
        <v>0</v>
      </c>
      <c r="L19" s="45">
        <v>0</v>
      </c>
      <c r="M19" s="46">
        <v>0</v>
      </c>
      <c r="P19" s="3"/>
    </row>
    <row r="20" spans="1:16" s="3" customFormat="1" x14ac:dyDescent="0.25">
      <c r="A20" s="16"/>
      <c r="B20" s="16" t="s">
        <v>8</v>
      </c>
      <c r="C20" s="29" t="s">
        <v>45</v>
      </c>
      <c r="D20" s="16" t="s">
        <v>74</v>
      </c>
      <c r="E20" s="18" t="s">
        <v>24</v>
      </c>
      <c r="F20" s="45">
        <v>3</v>
      </c>
      <c r="G20" s="46">
        <v>0</v>
      </c>
      <c r="H20" s="45">
        <v>3</v>
      </c>
      <c r="I20" s="46"/>
      <c r="J20" s="45"/>
      <c r="K20" s="46">
        <v>0</v>
      </c>
      <c r="L20" s="45"/>
      <c r="M20" s="46">
        <v>0</v>
      </c>
    </row>
    <row r="21" spans="1:16" s="3" customFormat="1" x14ac:dyDescent="0.25">
      <c r="A21" s="16"/>
      <c r="B21" s="16" t="s">
        <v>7</v>
      </c>
      <c r="C21" s="29" t="s">
        <v>40</v>
      </c>
      <c r="D21" s="16" t="s">
        <v>75</v>
      </c>
      <c r="E21" s="18" t="s">
        <v>24</v>
      </c>
      <c r="F21" s="45">
        <v>3</v>
      </c>
      <c r="G21" s="46">
        <v>5</v>
      </c>
      <c r="H21" s="45">
        <v>4</v>
      </c>
      <c r="I21" s="46">
        <v>5</v>
      </c>
      <c r="J21" s="45">
        <v>3</v>
      </c>
      <c r="K21" s="46">
        <v>3</v>
      </c>
      <c r="L21" s="45">
        <v>2</v>
      </c>
      <c r="M21" s="46">
        <v>2</v>
      </c>
    </row>
    <row r="22" spans="1:16" s="3" customFormat="1" x14ac:dyDescent="0.25">
      <c r="A22" s="16"/>
      <c r="B22" s="16" t="s">
        <v>8</v>
      </c>
      <c r="C22" s="29" t="s">
        <v>60</v>
      </c>
      <c r="D22" s="16" t="s">
        <v>76</v>
      </c>
      <c r="E22" s="18" t="s">
        <v>24</v>
      </c>
      <c r="F22" s="45"/>
      <c r="G22" s="46"/>
      <c r="H22" s="45"/>
      <c r="I22" s="46"/>
      <c r="J22" s="45"/>
      <c r="K22" s="46"/>
      <c r="L22" s="45"/>
      <c r="M22" s="46"/>
    </row>
    <row r="23" spans="1:16" x14ac:dyDescent="0.25">
      <c r="A23" s="16"/>
      <c r="B23" s="16" t="s">
        <v>25</v>
      </c>
      <c r="C23" s="29" t="s">
        <v>46</v>
      </c>
      <c r="D23" s="16" t="s">
        <v>77</v>
      </c>
      <c r="E23" s="18" t="s">
        <v>24</v>
      </c>
      <c r="F23" s="45">
        <v>3</v>
      </c>
      <c r="G23" s="46">
        <v>5</v>
      </c>
      <c r="H23" s="45">
        <v>4</v>
      </c>
      <c r="I23" s="46">
        <v>5</v>
      </c>
      <c r="J23" s="45"/>
      <c r="K23" s="46"/>
      <c r="L23" s="45"/>
      <c r="M23" s="46"/>
      <c r="P23" s="3"/>
    </row>
    <row r="24" spans="1:16" x14ac:dyDescent="0.25">
      <c r="A24" s="16"/>
      <c r="B24" s="16" t="s">
        <v>56</v>
      </c>
      <c r="C24" s="29" t="s">
        <v>65</v>
      </c>
      <c r="D24" s="16" t="s">
        <v>78</v>
      </c>
      <c r="E24" s="18" t="s">
        <v>24</v>
      </c>
      <c r="F24" s="45"/>
      <c r="G24" s="46"/>
      <c r="H24" s="45">
        <v>3</v>
      </c>
      <c r="I24" s="46">
        <v>3</v>
      </c>
      <c r="J24" s="45">
        <v>3</v>
      </c>
      <c r="K24" s="46">
        <v>3</v>
      </c>
      <c r="L24" s="45">
        <v>3</v>
      </c>
      <c r="M24" s="46">
        <v>3</v>
      </c>
      <c r="P24" s="3"/>
    </row>
    <row r="25" spans="1:16" x14ac:dyDescent="0.25">
      <c r="A25" s="7"/>
      <c r="B25" s="7" t="s">
        <v>26</v>
      </c>
      <c r="C25" s="8" t="s">
        <v>26</v>
      </c>
      <c r="D25" s="7" t="s">
        <v>26</v>
      </c>
      <c r="E25" s="9" t="s">
        <v>24</v>
      </c>
      <c r="F25" s="47">
        <v>0</v>
      </c>
      <c r="G25" s="48">
        <v>0</v>
      </c>
      <c r="H25" s="47">
        <v>0</v>
      </c>
      <c r="I25" s="48"/>
      <c r="J25" s="47">
        <v>0</v>
      </c>
      <c r="K25" s="48"/>
      <c r="L25" s="47">
        <v>0</v>
      </c>
      <c r="M25" s="48"/>
      <c r="P25" s="3"/>
    </row>
    <row r="26" spans="1:16" x14ac:dyDescent="0.25">
      <c r="A26" s="4"/>
      <c r="B26" s="4"/>
      <c r="D26" s="4"/>
      <c r="F26" s="39"/>
      <c r="G26" s="40"/>
      <c r="H26" s="39"/>
      <c r="I26" s="40"/>
      <c r="J26" s="39"/>
      <c r="K26" s="40"/>
      <c r="L26" s="39"/>
      <c r="M26" s="40"/>
      <c r="P26" s="3"/>
    </row>
    <row r="27" spans="1:16" x14ac:dyDescent="0.25">
      <c r="A27" s="7" t="s">
        <v>9</v>
      </c>
      <c r="B27" s="7"/>
      <c r="C27" s="7"/>
      <c r="D27" s="7"/>
      <c r="E27" s="8"/>
      <c r="F27" s="41">
        <f t="shared" ref="F27" si="6">SUM(F28:F35)</f>
        <v>10</v>
      </c>
      <c r="G27" s="42">
        <f t="shared" ref="G27:M27" si="7">SUM(G28:G35)</f>
        <v>13</v>
      </c>
      <c r="H27" s="41">
        <f t="shared" si="7"/>
        <v>20</v>
      </c>
      <c r="I27" s="42">
        <f t="shared" si="7"/>
        <v>21</v>
      </c>
      <c r="J27" s="41">
        <f t="shared" si="7"/>
        <v>17</v>
      </c>
      <c r="K27" s="42">
        <f t="shared" si="7"/>
        <v>23</v>
      </c>
      <c r="L27" s="41">
        <f t="shared" si="7"/>
        <v>15</v>
      </c>
      <c r="M27" s="42">
        <f t="shared" si="7"/>
        <v>21</v>
      </c>
      <c r="P27" s="3"/>
    </row>
    <row r="28" spans="1:16" x14ac:dyDescent="0.25">
      <c r="A28" s="16"/>
      <c r="B28" s="16" t="s">
        <v>27</v>
      </c>
      <c r="C28" s="3" t="s">
        <v>116</v>
      </c>
      <c r="D28" s="16" t="s">
        <v>79</v>
      </c>
      <c r="E28" s="18" t="s">
        <v>24</v>
      </c>
      <c r="F28" s="45"/>
      <c r="G28" s="46"/>
      <c r="H28" s="45">
        <v>3</v>
      </c>
      <c r="I28" s="46">
        <v>3</v>
      </c>
      <c r="J28" s="45">
        <v>3</v>
      </c>
      <c r="K28" s="46">
        <v>3</v>
      </c>
      <c r="L28" s="45">
        <v>3</v>
      </c>
      <c r="M28" s="46">
        <v>3</v>
      </c>
      <c r="P28" s="3"/>
    </row>
    <row r="29" spans="1:16" x14ac:dyDescent="0.25">
      <c r="A29" s="16"/>
      <c r="B29" s="16" t="s">
        <v>27</v>
      </c>
      <c r="C29" s="29" t="s">
        <v>47</v>
      </c>
      <c r="D29" s="19" t="s">
        <v>80</v>
      </c>
      <c r="E29" s="18" t="s">
        <v>24</v>
      </c>
      <c r="F29" s="45"/>
      <c r="G29" s="46"/>
      <c r="H29" s="45"/>
      <c r="I29" s="46"/>
      <c r="J29" s="45"/>
      <c r="K29" s="46"/>
      <c r="L29" s="45"/>
      <c r="M29" s="46"/>
      <c r="P29" s="3"/>
    </row>
    <row r="30" spans="1:16" s="3" customFormat="1" x14ac:dyDescent="0.25">
      <c r="A30" s="16"/>
      <c r="B30" s="16" t="s">
        <v>27</v>
      </c>
      <c r="C30" s="3" t="s">
        <v>163</v>
      </c>
      <c r="D30" s="19" t="s">
        <v>119</v>
      </c>
      <c r="E30" s="18" t="s">
        <v>24</v>
      </c>
      <c r="F30" s="45">
        <v>2</v>
      </c>
      <c r="G30" s="46">
        <v>4</v>
      </c>
      <c r="H30" s="45">
        <v>2</v>
      </c>
      <c r="I30" s="46">
        <v>3</v>
      </c>
      <c r="J30" s="45">
        <v>2</v>
      </c>
      <c r="K30" s="46">
        <v>3</v>
      </c>
      <c r="L30" s="45">
        <v>3</v>
      </c>
      <c r="M30" s="46">
        <v>3</v>
      </c>
    </row>
    <row r="31" spans="1:16" x14ac:dyDescent="0.25">
      <c r="A31" s="16"/>
      <c r="B31" s="16" t="s">
        <v>23</v>
      </c>
      <c r="C31" s="20" t="s">
        <v>48</v>
      </c>
      <c r="D31" s="19" t="s">
        <v>81</v>
      </c>
      <c r="E31" s="18" t="s">
        <v>24</v>
      </c>
      <c r="F31" s="45">
        <v>3</v>
      </c>
      <c r="G31" s="46">
        <v>4</v>
      </c>
      <c r="H31" s="45">
        <v>3</v>
      </c>
      <c r="I31" s="46">
        <v>3</v>
      </c>
      <c r="J31" s="45">
        <v>3</v>
      </c>
      <c r="K31" s="46">
        <v>3</v>
      </c>
      <c r="L31" s="45"/>
      <c r="M31" s="46"/>
      <c r="P31" s="3"/>
    </row>
    <row r="32" spans="1:16" x14ac:dyDescent="0.25">
      <c r="A32" s="16"/>
      <c r="B32" s="16" t="s">
        <v>10</v>
      </c>
      <c r="C32" s="20" t="s">
        <v>49</v>
      </c>
      <c r="D32" s="19" t="s">
        <v>82</v>
      </c>
      <c r="E32" s="18" t="s">
        <v>24</v>
      </c>
      <c r="F32" s="45"/>
      <c r="G32" s="46"/>
      <c r="H32" s="45">
        <v>3</v>
      </c>
      <c r="I32" s="46">
        <v>3</v>
      </c>
      <c r="J32" s="45">
        <v>4</v>
      </c>
      <c r="K32" s="46">
        <v>4</v>
      </c>
      <c r="L32" s="45">
        <v>4</v>
      </c>
      <c r="M32" s="46">
        <v>5</v>
      </c>
      <c r="P32" s="3"/>
    </row>
    <row r="33" spans="1:16" x14ac:dyDescent="0.25">
      <c r="A33" s="16"/>
      <c r="B33" s="16" t="s">
        <v>10</v>
      </c>
      <c r="C33" s="20" t="s">
        <v>50</v>
      </c>
      <c r="D33" s="19" t="s">
        <v>83</v>
      </c>
      <c r="E33" s="18" t="s">
        <v>24</v>
      </c>
      <c r="F33" s="45"/>
      <c r="G33" s="46"/>
      <c r="H33" s="45">
        <v>4</v>
      </c>
      <c r="I33" s="46">
        <v>4</v>
      </c>
      <c r="J33" s="45">
        <v>5</v>
      </c>
      <c r="K33" s="46">
        <v>5</v>
      </c>
      <c r="L33" s="45">
        <v>5</v>
      </c>
      <c r="M33" s="46">
        <v>5</v>
      </c>
      <c r="P33" s="3"/>
    </row>
    <row r="34" spans="1:16" x14ac:dyDescent="0.25">
      <c r="A34" s="16"/>
      <c r="B34" s="16" t="s">
        <v>28</v>
      </c>
      <c r="C34" s="20" t="s">
        <v>170</v>
      </c>
      <c r="D34" s="16" t="s">
        <v>167</v>
      </c>
      <c r="E34" s="18" t="s">
        <v>24</v>
      </c>
      <c r="F34" s="45">
        <v>5</v>
      </c>
      <c r="G34" s="46">
        <v>5</v>
      </c>
      <c r="H34" s="45">
        <v>5</v>
      </c>
      <c r="I34" s="46">
        <v>5</v>
      </c>
      <c r="J34" s="45"/>
      <c r="K34" s="46">
        <v>5</v>
      </c>
      <c r="L34" s="45"/>
      <c r="M34" s="46">
        <v>5</v>
      </c>
      <c r="P34" s="3"/>
    </row>
    <row r="35" spans="1:16" x14ac:dyDescent="0.25">
      <c r="A35" s="7"/>
      <c r="B35" s="21" t="s">
        <v>29</v>
      </c>
      <c r="C35" s="22" t="s">
        <v>29</v>
      </c>
      <c r="D35" s="9" t="s">
        <v>29</v>
      </c>
      <c r="E35" s="9" t="s">
        <v>24</v>
      </c>
      <c r="F35" s="47">
        <v>0</v>
      </c>
      <c r="G35" s="48"/>
      <c r="H35" s="47">
        <v>0</v>
      </c>
      <c r="I35" s="48"/>
      <c r="J35" s="47"/>
      <c r="K35" s="48"/>
      <c r="L35" s="47">
        <v>0</v>
      </c>
      <c r="M35" s="48"/>
      <c r="P35" s="3"/>
    </row>
    <row r="36" spans="1:16" x14ac:dyDescent="0.25">
      <c r="A36" s="4"/>
      <c r="B36" s="4"/>
      <c r="D36" s="4"/>
      <c r="F36" s="39"/>
      <c r="G36" s="40"/>
      <c r="H36" s="39"/>
      <c r="I36" s="40"/>
      <c r="J36" s="39"/>
      <c r="K36" s="40"/>
      <c r="L36" s="39"/>
      <c r="M36" s="40"/>
      <c r="P36" s="3"/>
    </row>
    <row r="37" spans="1:16" x14ac:dyDescent="0.25">
      <c r="A37" s="4" t="s">
        <v>31</v>
      </c>
      <c r="B37" s="4"/>
      <c r="C37" s="3"/>
      <c r="D37" s="4"/>
      <c r="F37" s="39"/>
      <c r="G37" s="40"/>
      <c r="H37" s="39"/>
      <c r="I37" s="40"/>
      <c r="J37" s="39"/>
      <c r="K37" s="40"/>
      <c r="L37" s="39"/>
      <c r="M37" s="40"/>
      <c r="P37" s="3"/>
    </row>
    <row r="38" spans="1:16" x14ac:dyDescent="0.25">
      <c r="A38" s="10"/>
      <c r="B38" s="11" t="s">
        <v>92</v>
      </c>
      <c r="C38" s="10" t="s">
        <v>112</v>
      </c>
      <c r="D38" s="11" t="s">
        <v>109</v>
      </c>
      <c r="E38" s="12" t="s">
        <v>34</v>
      </c>
      <c r="F38" s="43"/>
      <c r="G38" s="44"/>
      <c r="H38" s="43"/>
      <c r="I38" s="44"/>
      <c r="J38" s="43"/>
      <c r="K38" s="44"/>
      <c r="L38" s="43"/>
      <c r="M38" s="44"/>
      <c r="P38" s="3"/>
    </row>
    <row r="39" spans="1:16" s="3" customFormat="1" ht="15.75" thickBot="1" x14ac:dyDescent="0.3">
      <c r="B39" s="4"/>
      <c r="C39" s="2"/>
      <c r="D39" s="4"/>
      <c r="E39" s="5"/>
      <c r="F39" s="39"/>
      <c r="G39" s="40"/>
      <c r="H39" s="39"/>
      <c r="I39" s="40"/>
      <c r="J39" s="39"/>
      <c r="K39" s="40"/>
      <c r="L39" s="39"/>
      <c r="M39" s="40"/>
    </row>
    <row r="40" spans="1:16" x14ac:dyDescent="0.25">
      <c r="D40" s="4"/>
      <c r="F40" s="51"/>
      <c r="G40" s="52"/>
      <c r="H40" s="51"/>
      <c r="I40" s="52"/>
      <c r="J40" s="51"/>
      <c r="K40" s="52"/>
      <c r="L40" s="51"/>
      <c r="M40" s="52"/>
    </row>
    <row r="41" spans="1:16" x14ac:dyDescent="0.25">
      <c r="D41" s="4" t="s">
        <v>30</v>
      </c>
      <c r="F41" s="53">
        <f t="shared" ref="F41:M41" si="8">+F27+F17+F8+F5</f>
        <v>100</v>
      </c>
      <c r="G41" s="54">
        <f t="shared" si="8"/>
        <v>100</v>
      </c>
      <c r="H41" s="53">
        <f t="shared" si="8"/>
        <v>100</v>
      </c>
      <c r="I41" s="54">
        <f t="shared" si="8"/>
        <v>100</v>
      </c>
      <c r="J41" s="53">
        <f t="shared" si="8"/>
        <v>100</v>
      </c>
      <c r="K41" s="54">
        <f t="shared" si="8"/>
        <v>100</v>
      </c>
      <c r="L41" s="53">
        <f t="shared" si="8"/>
        <v>100</v>
      </c>
      <c r="M41" s="54">
        <f t="shared" si="8"/>
        <v>100</v>
      </c>
    </row>
    <row r="42" spans="1:16" ht="15.75" thickBot="1" x14ac:dyDescent="0.3">
      <c r="D42" s="4" t="s">
        <v>32</v>
      </c>
      <c r="F42" s="55">
        <f t="shared" ref="F42:M42" si="9">SUMIF($E$5:$E$38,"&lt;&gt;EUR",F5:F38)-100</f>
        <v>2</v>
      </c>
      <c r="G42" s="56">
        <f t="shared" si="9"/>
        <v>2</v>
      </c>
      <c r="H42" s="55">
        <f t="shared" si="9"/>
        <v>3</v>
      </c>
      <c r="I42" s="56">
        <f t="shared" si="9"/>
        <v>3</v>
      </c>
      <c r="J42" s="55">
        <f t="shared" si="9"/>
        <v>4</v>
      </c>
      <c r="K42" s="56">
        <f t="shared" si="9"/>
        <v>3</v>
      </c>
      <c r="L42" s="55">
        <f t="shared" si="9"/>
        <v>5</v>
      </c>
      <c r="M42" s="56">
        <f t="shared" si="9"/>
        <v>4</v>
      </c>
    </row>
    <row r="43" spans="1:16" x14ac:dyDescent="0.25">
      <c r="D43" s="4"/>
      <c r="F43" s="57"/>
      <c r="G43" s="57"/>
    </row>
    <row r="45" spans="1:16" x14ac:dyDescent="0.25">
      <c r="D45" s="4"/>
    </row>
    <row r="46" spans="1:16" x14ac:dyDescent="0.25">
      <c r="D46" s="4"/>
      <c r="F46" s="58">
        <v>-2</v>
      </c>
      <c r="G46" s="58">
        <v>-2</v>
      </c>
      <c r="H46" s="58">
        <v>-2</v>
      </c>
      <c r="I46" s="58">
        <v>-2</v>
      </c>
      <c r="J46" s="58">
        <v>-2</v>
      </c>
      <c r="K46" s="58">
        <v>-2</v>
      </c>
      <c r="L46" s="58">
        <v>-2</v>
      </c>
      <c r="M46" s="58">
        <v>-2</v>
      </c>
    </row>
    <row r="47" spans="1:16" x14ac:dyDescent="0.25">
      <c r="D47" s="4"/>
    </row>
    <row r="48" spans="1:16" x14ac:dyDescent="0.25">
      <c r="D48" s="4"/>
    </row>
    <row r="49" spans="4:4" x14ac:dyDescent="0.25">
      <c r="D49" s="4"/>
    </row>
  </sheetData>
  <mergeCells count="5">
    <mergeCell ref="H2:I2"/>
    <mergeCell ref="F2:G2"/>
    <mergeCell ref="J2:K2"/>
    <mergeCell ref="L2:M2"/>
    <mergeCell ref="F1:M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7"/>
  <sheetViews>
    <sheetView workbookViewId="0">
      <selection activeCell="C34" sqref="C34"/>
    </sheetView>
  </sheetViews>
  <sheetFormatPr defaultRowHeight="15" outlineLevelCol="1" x14ac:dyDescent="0.25"/>
  <cols>
    <col min="1" max="1" width="11.85546875" style="3" bestFit="1" customWidth="1"/>
    <col min="2" max="2" width="20.85546875" style="3" bestFit="1" customWidth="1"/>
    <col min="3" max="3" width="25.85546875" style="3" customWidth="1" outlineLevel="1"/>
    <col min="4" max="4" width="29.42578125" style="3" bestFit="1" customWidth="1"/>
    <col min="5" max="5" width="5.85546875" style="3" bestFit="1" customWidth="1"/>
    <col min="6" max="14" width="8.85546875" style="59" customWidth="1"/>
    <col min="15" max="16384" width="9.140625" style="3"/>
  </cols>
  <sheetData>
    <row r="1" spans="1:13" ht="15.75" thickBot="1" x14ac:dyDescent="0.3">
      <c r="A1" s="23"/>
      <c r="B1" s="24"/>
      <c r="C1" s="24"/>
      <c r="D1" s="24"/>
      <c r="E1" s="24"/>
      <c r="F1" s="90" t="s">
        <v>13</v>
      </c>
      <c r="G1" s="91"/>
      <c r="H1" s="91"/>
      <c r="I1" s="91"/>
      <c r="J1" s="91"/>
      <c r="K1" s="91"/>
      <c r="L1" s="91"/>
      <c r="M1" s="92"/>
    </row>
    <row r="2" spans="1:13" x14ac:dyDescent="0.25">
      <c r="A2" s="23"/>
      <c r="B2" s="24"/>
      <c r="C2" s="24"/>
      <c r="D2" s="24"/>
      <c r="E2" s="24"/>
      <c r="F2" s="93" t="s">
        <v>15</v>
      </c>
      <c r="G2" s="94"/>
      <c r="H2" s="93" t="s">
        <v>14</v>
      </c>
      <c r="I2" s="94"/>
      <c r="J2" s="93" t="s">
        <v>16</v>
      </c>
      <c r="K2" s="94"/>
      <c r="L2" s="93" t="s">
        <v>17</v>
      </c>
      <c r="M2" s="94"/>
    </row>
    <row r="3" spans="1:13" ht="15.75" thickBot="1" x14ac:dyDescent="0.3">
      <c r="A3" s="25" t="s">
        <v>37</v>
      </c>
      <c r="B3" s="26" t="s">
        <v>38</v>
      </c>
      <c r="C3" s="26" t="s">
        <v>117</v>
      </c>
      <c r="D3" s="26" t="s">
        <v>18</v>
      </c>
      <c r="E3" s="26" t="s">
        <v>118</v>
      </c>
      <c r="F3" s="60" t="s">
        <v>12</v>
      </c>
      <c r="G3" s="38" t="s">
        <v>11</v>
      </c>
      <c r="H3" s="60" t="s">
        <v>12</v>
      </c>
      <c r="I3" s="38" t="s">
        <v>11</v>
      </c>
      <c r="J3" s="60" t="s">
        <v>12</v>
      </c>
      <c r="K3" s="38" t="s">
        <v>11</v>
      </c>
      <c r="L3" s="60" t="s">
        <v>12</v>
      </c>
      <c r="M3" s="38" t="s">
        <v>11</v>
      </c>
    </row>
    <row r="4" spans="1:13" x14ac:dyDescent="0.25">
      <c r="F4" s="39"/>
      <c r="G4" s="40"/>
      <c r="H4" s="39"/>
      <c r="I4" s="40"/>
      <c r="J4" s="39"/>
      <c r="K4" s="40"/>
      <c r="L4" s="39"/>
      <c r="M4" s="40"/>
    </row>
    <row r="5" spans="1:13" x14ac:dyDescent="0.25">
      <c r="A5" s="7" t="s">
        <v>0</v>
      </c>
      <c r="B5" s="7"/>
      <c r="C5" s="7"/>
      <c r="D5" s="8"/>
      <c r="E5" s="8"/>
      <c r="F5" s="41">
        <f t="shared" ref="F5:M5" si="0">SUM(F6)</f>
        <v>10</v>
      </c>
      <c r="G5" s="42">
        <f t="shared" si="0"/>
        <v>30</v>
      </c>
      <c r="H5" s="41">
        <f t="shared" si="0"/>
        <v>5</v>
      </c>
      <c r="I5" s="42">
        <f t="shared" si="0"/>
        <v>20</v>
      </c>
      <c r="J5" s="41">
        <f t="shared" si="0"/>
        <v>2</v>
      </c>
      <c r="K5" s="42">
        <f t="shared" si="0"/>
        <v>15</v>
      </c>
      <c r="L5" s="41">
        <f t="shared" si="0"/>
        <v>2</v>
      </c>
      <c r="M5" s="42">
        <f t="shared" si="0"/>
        <v>10</v>
      </c>
    </row>
    <row r="6" spans="1:13" x14ac:dyDescent="0.25">
      <c r="A6" s="10"/>
      <c r="B6" s="11" t="s">
        <v>1</v>
      </c>
      <c r="C6" s="11" t="s">
        <v>1</v>
      </c>
      <c r="D6" s="12" t="s">
        <v>1</v>
      </c>
      <c r="E6" s="12" t="s">
        <v>33</v>
      </c>
      <c r="F6" s="43">
        <v>10</v>
      </c>
      <c r="G6" s="44">
        <v>30</v>
      </c>
      <c r="H6" s="43">
        <v>5</v>
      </c>
      <c r="I6" s="44">
        <v>20</v>
      </c>
      <c r="J6" s="43">
        <v>2</v>
      </c>
      <c r="K6" s="44">
        <v>15</v>
      </c>
      <c r="L6" s="43">
        <v>2</v>
      </c>
      <c r="M6" s="44">
        <v>10</v>
      </c>
    </row>
    <row r="7" spans="1:13" x14ac:dyDescent="0.25">
      <c r="F7" s="39"/>
      <c r="G7" s="40"/>
      <c r="H7" s="39"/>
      <c r="I7" s="40"/>
      <c r="J7" s="39"/>
      <c r="K7" s="40"/>
      <c r="L7" s="39"/>
      <c r="M7" s="40"/>
    </row>
    <row r="8" spans="1:13" x14ac:dyDescent="0.25">
      <c r="A8" s="7" t="s">
        <v>2</v>
      </c>
      <c r="B8" s="7"/>
      <c r="C8" s="7"/>
      <c r="D8" s="8"/>
      <c r="E8" s="9"/>
      <c r="F8" s="41">
        <f t="shared" ref="F8:M8" si="1">SUM(F9:F15)</f>
        <v>20</v>
      </c>
      <c r="G8" s="42">
        <f>SUM(G9:G15)</f>
        <v>15</v>
      </c>
      <c r="H8" s="41">
        <f t="shared" si="1"/>
        <v>29</v>
      </c>
      <c r="I8" s="42">
        <f t="shared" si="1"/>
        <v>21</v>
      </c>
      <c r="J8" s="41">
        <f t="shared" si="1"/>
        <v>50</v>
      </c>
      <c r="K8" s="42">
        <f t="shared" si="1"/>
        <v>40</v>
      </c>
      <c r="L8" s="41">
        <f t="shared" si="1"/>
        <v>70</v>
      </c>
      <c r="M8" s="42">
        <f t="shared" si="1"/>
        <v>56</v>
      </c>
    </row>
    <row r="9" spans="1:13" x14ac:dyDescent="0.25">
      <c r="A9" s="4"/>
      <c r="B9" s="4" t="s">
        <v>19</v>
      </c>
      <c r="C9" s="3" t="s">
        <v>39</v>
      </c>
      <c r="D9" s="4" t="s">
        <v>66</v>
      </c>
      <c r="E9" s="5" t="s">
        <v>24</v>
      </c>
      <c r="F9" s="45">
        <v>16</v>
      </c>
      <c r="G9" s="46">
        <v>11</v>
      </c>
      <c r="H9" s="45">
        <v>22</v>
      </c>
      <c r="I9" s="46">
        <v>14</v>
      </c>
      <c r="J9" s="45">
        <v>40</v>
      </c>
      <c r="K9" s="46">
        <v>30</v>
      </c>
      <c r="L9" s="45">
        <v>57</v>
      </c>
      <c r="M9" s="46">
        <v>43</v>
      </c>
    </row>
    <row r="10" spans="1:13" x14ac:dyDescent="0.25">
      <c r="A10" s="4"/>
      <c r="B10" s="4" t="s">
        <v>3</v>
      </c>
      <c r="C10" s="3" t="s">
        <v>63</v>
      </c>
      <c r="D10" s="4" t="s">
        <v>67</v>
      </c>
      <c r="E10" s="5" t="s">
        <v>24</v>
      </c>
      <c r="F10" s="45">
        <v>0</v>
      </c>
      <c r="G10" s="46">
        <v>2</v>
      </c>
      <c r="H10" s="45">
        <v>0</v>
      </c>
      <c r="I10" s="46">
        <v>2</v>
      </c>
      <c r="J10" s="45">
        <v>0</v>
      </c>
      <c r="K10" s="46">
        <v>2</v>
      </c>
      <c r="L10" s="45">
        <v>0</v>
      </c>
      <c r="M10" s="46">
        <v>2</v>
      </c>
    </row>
    <row r="11" spans="1:13" x14ac:dyDescent="0.25">
      <c r="A11" s="4"/>
      <c r="B11" s="4" t="s">
        <v>4</v>
      </c>
      <c r="C11" s="3" t="s">
        <v>41</v>
      </c>
      <c r="D11" s="4" t="s">
        <v>68</v>
      </c>
      <c r="E11" s="5" t="s">
        <v>24</v>
      </c>
      <c r="F11" s="45">
        <v>2</v>
      </c>
      <c r="G11" s="46">
        <v>0</v>
      </c>
      <c r="H11" s="45">
        <v>2</v>
      </c>
      <c r="I11" s="46">
        <v>0</v>
      </c>
      <c r="J11" s="45">
        <v>4</v>
      </c>
      <c r="K11" s="46">
        <v>3</v>
      </c>
      <c r="L11" s="45">
        <v>5</v>
      </c>
      <c r="M11" s="46">
        <v>4</v>
      </c>
    </row>
    <row r="12" spans="1:13" x14ac:dyDescent="0.25">
      <c r="A12" s="4"/>
      <c r="B12" s="4" t="s">
        <v>57</v>
      </c>
      <c r="C12" s="3" t="s">
        <v>58</v>
      </c>
      <c r="D12" s="4" t="s">
        <v>69</v>
      </c>
      <c r="E12" s="5" t="s">
        <v>34</v>
      </c>
      <c r="F12" s="45">
        <v>2</v>
      </c>
      <c r="G12" s="46">
        <v>2</v>
      </c>
      <c r="H12" s="45">
        <v>3</v>
      </c>
      <c r="I12" s="46">
        <v>3</v>
      </c>
      <c r="J12" s="45">
        <v>4</v>
      </c>
      <c r="K12" s="46">
        <v>3</v>
      </c>
      <c r="L12" s="45">
        <v>5</v>
      </c>
      <c r="M12" s="46">
        <v>4</v>
      </c>
    </row>
    <row r="13" spans="1:13" x14ac:dyDescent="0.25">
      <c r="A13" s="4"/>
      <c r="B13" s="4" t="s">
        <v>5</v>
      </c>
      <c r="C13" s="3" t="s">
        <v>59</v>
      </c>
      <c r="D13" s="4" t="s">
        <v>70</v>
      </c>
      <c r="E13" s="5" t="s">
        <v>24</v>
      </c>
      <c r="F13" s="45">
        <v>0</v>
      </c>
      <c r="G13" s="46">
        <v>0</v>
      </c>
      <c r="H13" s="45">
        <v>0</v>
      </c>
      <c r="I13" s="46">
        <v>0</v>
      </c>
      <c r="J13" s="45">
        <v>0</v>
      </c>
      <c r="K13" s="46">
        <v>0</v>
      </c>
      <c r="L13" s="45">
        <v>0</v>
      </c>
      <c r="M13" s="46">
        <v>0</v>
      </c>
    </row>
    <row r="14" spans="1:13" x14ac:dyDescent="0.25">
      <c r="A14" s="4"/>
      <c r="B14" s="4" t="s">
        <v>20</v>
      </c>
      <c r="C14" s="3" t="s">
        <v>42</v>
      </c>
      <c r="D14" s="4" t="s">
        <v>71</v>
      </c>
      <c r="E14" s="5" t="s">
        <v>24</v>
      </c>
      <c r="F14" s="45">
        <v>0</v>
      </c>
      <c r="G14" s="46">
        <v>0</v>
      </c>
      <c r="H14" s="45">
        <v>2</v>
      </c>
      <c r="I14" s="46">
        <v>2</v>
      </c>
      <c r="J14" s="45">
        <v>2</v>
      </c>
      <c r="K14" s="46">
        <v>2</v>
      </c>
      <c r="L14" s="45">
        <v>3</v>
      </c>
      <c r="M14" s="46">
        <v>3</v>
      </c>
    </row>
    <row r="15" spans="1:13" x14ac:dyDescent="0.25">
      <c r="A15" s="4"/>
      <c r="B15" s="4" t="s">
        <v>21</v>
      </c>
      <c r="C15" s="3" t="s">
        <v>21</v>
      </c>
      <c r="D15" s="4" t="s">
        <v>21</v>
      </c>
      <c r="E15" s="5" t="s">
        <v>33</v>
      </c>
      <c r="F15" s="47"/>
      <c r="G15" s="48"/>
      <c r="H15" s="47"/>
      <c r="I15" s="48"/>
      <c r="J15" s="47"/>
      <c r="K15" s="48"/>
      <c r="L15" s="47"/>
      <c r="M15" s="48"/>
    </row>
    <row r="16" spans="1:13" x14ac:dyDescent="0.25">
      <c r="A16" s="4"/>
      <c r="B16" s="4"/>
      <c r="D16" s="4"/>
      <c r="F16" s="39"/>
      <c r="G16" s="40"/>
      <c r="H16" s="39"/>
      <c r="I16" s="40"/>
      <c r="J16" s="39"/>
      <c r="K16" s="40"/>
      <c r="L16" s="39"/>
      <c r="M16" s="40"/>
    </row>
    <row r="17" spans="1:13" x14ac:dyDescent="0.25">
      <c r="A17" s="7" t="s">
        <v>6</v>
      </c>
      <c r="B17" s="7"/>
      <c r="C17" s="7"/>
      <c r="D17" s="7"/>
      <c r="E17" s="8"/>
      <c r="F17" s="41">
        <f t="shared" ref="F17:M17" si="2">SUM(F18:F25)</f>
        <v>60</v>
      </c>
      <c r="G17" s="42">
        <f t="shared" si="2"/>
        <v>42</v>
      </c>
      <c r="H17" s="41">
        <f t="shared" si="2"/>
        <v>45</v>
      </c>
      <c r="I17" s="42">
        <f t="shared" si="2"/>
        <v>38</v>
      </c>
      <c r="J17" s="41">
        <f t="shared" si="2"/>
        <v>30</v>
      </c>
      <c r="K17" s="42">
        <f t="shared" si="2"/>
        <v>21</v>
      </c>
      <c r="L17" s="41">
        <f t="shared" si="2"/>
        <v>12</v>
      </c>
      <c r="M17" s="42">
        <f t="shared" si="2"/>
        <v>12</v>
      </c>
    </row>
    <row r="18" spans="1:13" x14ac:dyDescent="0.25">
      <c r="A18" s="13"/>
      <c r="B18" s="13" t="s">
        <v>22</v>
      </c>
      <c r="C18" s="14" t="s">
        <v>43</v>
      </c>
      <c r="D18" s="13" t="s">
        <v>72</v>
      </c>
      <c r="E18" s="15" t="s">
        <v>24</v>
      </c>
      <c r="F18" s="49">
        <v>48</v>
      </c>
      <c r="G18" s="50">
        <v>32</v>
      </c>
      <c r="H18" s="49">
        <v>31</v>
      </c>
      <c r="I18" s="50">
        <v>25</v>
      </c>
      <c r="J18" s="49">
        <v>25</v>
      </c>
      <c r="K18" s="50">
        <v>16</v>
      </c>
      <c r="L18" s="49">
        <v>8</v>
      </c>
      <c r="M18" s="50">
        <v>8</v>
      </c>
    </row>
    <row r="19" spans="1:13" x14ac:dyDescent="0.25">
      <c r="A19" s="16"/>
      <c r="B19" s="16" t="s">
        <v>8</v>
      </c>
      <c r="C19" s="29" t="s">
        <v>44</v>
      </c>
      <c r="D19" s="16" t="s">
        <v>73</v>
      </c>
      <c r="E19" s="18" t="s">
        <v>24</v>
      </c>
      <c r="F19" s="45">
        <v>3</v>
      </c>
      <c r="G19" s="46">
        <v>0</v>
      </c>
      <c r="H19" s="45">
        <v>0</v>
      </c>
      <c r="I19" s="46">
        <v>0</v>
      </c>
      <c r="J19" s="45">
        <v>0</v>
      </c>
      <c r="K19" s="46">
        <v>0</v>
      </c>
      <c r="L19" s="45">
        <v>0</v>
      </c>
      <c r="M19" s="46">
        <v>0</v>
      </c>
    </row>
    <row r="20" spans="1:13" x14ac:dyDescent="0.25">
      <c r="A20" s="16"/>
      <c r="B20" s="16" t="s">
        <v>8</v>
      </c>
      <c r="C20" s="29" t="s">
        <v>45</v>
      </c>
      <c r="D20" s="16" t="s">
        <v>74</v>
      </c>
      <c r="E20" s="18" t="s">
        <v>24</v>
      </c>
      <c r="F20" s="45">
        <v>3</v>
      </c>
      <c r="G20" s="46">
        <v>0</v>
      </c>
      <c r="H20" s="45">
        <v>3</v>
      </c>
      <c r="I20" s="46"/>
      <c r="J20" s="45"/>
      <c r="K20" s="46">
        <v>0</v>
      </c>
      <c r="L20" s="45"/>
      <c r="M20" s="46">
        <v>0</v>
      </c>
    </row>
    <row r="21" spans="1:13" x14ac:dyDescent="0.25">
      <c r="A21" s="16"/>
      <c r="B21" s="16" t="s">
        <v>7</v>
      </c>
      <c r="C21" s="29" t="s">
        <v>40</v>
      </c>
      <c r="D21" s="16" t="s">
        <v>75</v>
      </c>
      <c r="E21" s="18" t="s">
        <v>24</v>
      </c>
      <c r="F21" s="45">
        <v>3</v>
      </c>
      <c r="G21" s="46">
        <v>5</v>
      </c>
      <c r="H21" s="45">
        <v>4</v>
      </c>
      <c r="I21" s="46">
        <v>5</v>
      </c>
      <c r="J21" s="45">
        <v>3</v>
      </c>
      <c r="K21" s="46">
        <v>3</v>
      </c>
      <c r="L21" s="45">
        <v>2</v>
      </c>
      <c r="M21" s="46">
        <v>2</v>
      </c>
    </row>
    <row r="22" spans="1:13" x14ac:dyDescent="0.25">
      <c r="A22" s="16"/>
      <c r="B22" s="16" t="s">
        <v>8</v>
      </c>
      <c r="C22" s="29" t="s">
        <v>60</v>
      </c>
      <c r="D22" s="16" t="s">
        <v>76</v>
      </c>
      <c r="E22" s="18" t="s">
        <v>24</v>
      </c>
      <c r="F22" s="45"/>
      <c r="G22" s="46"/>
      <c r="H22" s="45"/>
      <c r="I22" s="46"/>
      <c r="J22" s="45"/>
      <c r="K22" s="46"/>
      <c r="L22" s="45"/>
      <c r="M22" s="46"/>
    </row>
    <row r="23" spans="1:13" x14ac:dyDescent="0.25">
      <c r="A23" s="16"/>
      <c r="B23" s="16" t="s">
        <v>25</v>
      </c>
      <c r="C23" s="29" t="s">
        <v>64</v>
      </c>
      <c r="D23" s="4" t="s">
        <v>85</v>
      </c>
      <c r="E23" s="18" t="s">
        <v>33</v>
      </c>
      <c r="F23" s="45">
        <v>3</v>
      </c>
      <c r="G23" s="46">
        <v>5</v>
      </c>
      <c r="H23" s="45">
        <v>4</v>
      </c>
      <c r="I23" s="46">
        <v>5</v>
      </c>
      <c r="J23" s="45"/>
      <c r="K23" s="46"/>
      <c r="L23" s="45"/>
      <c r="M23" s="46"/>
    </row>
    <row r="24" spans="1:13" x14ac:dyDescent="0.25">
      <c r="A24" s="16"/>
      <c r="B24" s="16" t="s">
        <v>56</v>
      </c>
      <c r="C24" s="29" t="s">
        <v>65</v>
      </c>
      <c r="D24" s="16" t="s">
        <v>78</v>
      </c>
      <c r="E24" s="18" t="s">
        <v>24</v>
      </c>
      <c r="F24" s="45"/>
      <c r="G24" s="46"/>
      <c r="H24" s="45">
        <v>3</v>
      </c>
      <c r="I24" s="46">
        <v>3</v>
      </c>
      <c r="J24" s="45">
        <v>2</v>
      </c>
      <c r="K24" s="46">
        <v>2</v>
      </c>
      <c r="L24" s="45">
        <v>2</v>
      </c>
      <c r="M24" s="46">
        <v>2</v>
      </c>
    </row>
    <row r="25" spans="1:13" x14ac:dyDescent="0.25">
      <c r="A25" s="7"/>
      <c r="B25" s="7" t="s">
        <v>26</v>
      </c>
      <c r="C25" s="8" t="s">
        <v>26</v>
      </c>
      <c r="D25" s="7" t="s">
        <v>26</v>
      </c>
      <c r="E25" s="9" t="s">
        <v>24</v>
      </c>
      <c r="F25" s="47">
        <v>0</v>
      </c>
      <c r="G25" s="48">
        <v>0</v>
      </c>
      <c r="H25" s="47">
        <v>0</v>
      </c>
      <c r="I25" s="48"/>
      <c r="J25" s="47">
        <v>0</v>
      </c>
      <c r="K25" s="48"/>
      <c r="L25" s="47">
        <v>0</v>
      </c>
      <c r="M25" s="48"/>
    </row>
    <row r="26" spans="1:13" x14ac:dyDescent="0.25">
      <c r="A26" s="4"/>
      <c r="B26" s="4"/>
      <c r="D26" s="4"/>
      <c r="F26" s="39"/>
      <c r="G26" s="40"/>
      <c r="H26" s="39"/>
      <c r="I26" s="40"/>
      <c r="J26" s="39"/>
      <c r="K26" s="40"/>
      <c r="L26" s="39"/>
      <c r="M26" s="40"/>
    </row>
    <row r="27" spans="1:13" x14ac:dyDescent="0.25">
      <c r="A27" s="7" t="s">
        <v>9</v>
      </c>
      <c r="B27" s="7"/>
      <c r="C27" s="7"/>
      <c r="D27" s="7"/>
      <c r="E27" s="8"/>
      <c r="F27" s="41">
        <f t="shared" ref="F27:M27" si="3">SUM(F28:F35)</f>
        <v>10</v>
      </c>
      <c r="G27" s="42">
        <f t="shared" si="3"/>
        <v>13</v>
      </c>
      <c r="H27" s="41">
        <f t="shared" si="3"/>
        <v>20</v>
      </c>
      <c r="I27" s="42">
        <f t="shared" si="3"/>
        <v>21</v>
      </c>
      <c r="J27" s="41">
        <f t="shared" si="3"/>
        <v>17</v>
      </c>
      <c r="K27" s="42">
        <f t="shared" si="3"/>
        <v>23</v>
      </c>
      <c r="L27" s="41">
        <f t="shared" si="3"/>
        <v>15</v>
      </c>
      <c r="M27" s="42">
        <f t="shared" si="3"/>
        <v>21</v>
      </c>
    </row>
    <row r="28" spans="1:13" x14ac:dyDescent="0.25">
      <c r="A28" s="16"/>
      <c r="B28" s="16" t="s">
        <v>27</v>
      </c>
      <c r="C28" s="3" t="s">
        <v>116</v>
      </c>
      <c r="D28" s="16" t="s">
        <v>79</v>
      </c>
      <c r="E28" s="18" t="s">
        <v>24</v>
      </c>
      <c r="F28" s="45"/>
      <c r="G28" s="46"/>
      <c r="H28" s="45">
        <v>3</v>
      </c>
      <c r="I28" s="46">
        <v>3</v>
      </c>
      <c r="J28" s="45">
        <v>3</v>
      </c>
      <c r="K28" s="46">
        <v>3</v>
      </c>
      <c r="L28" s="45">
        <v>3</v>
      </c>
      <c r="M28" s="46">
        <v>3</v>
      </c>
    </row>
    <row r="29" spans="1:13" x14ac:dyDescent="0.25">
      <c r="A29" s="16"/>
      <c r="B29" s="16" t="s">
        <v>27</v>
      </c>
      <c r="C29" s="29" t="s">
        <v>47</v>
      </c>
      <c r="D29" s="19" t="s">
        <v>80</v>
      </c>
      <c r="E29" s="18" t="s">
        <v>24</v>
      </c>
      <c r="F29" s="45"/>
      <c r="G29" s="46"/>
      <c r="H29" s="45"/>
      <c r="I29" s="46"/>
      <c r="J29" s="45"/>
      <c r="K29" s="46"/>
      <c r="L29" s="45"/>
      <c r="M29" s="46"/>
    </row>
    <row r="30" spans="1:13" x14ac:dyDescent="0.25">
      <c r="A30" s="16"/>
      <c r="B30" s="16" t="s">
        <v>27</v>
      </c>
      <c r="C30" s="3" t="s">
        <v>164</v>
      </c>
      <c r="D30" s="19" t="s">
        <v>119</v>
      </c>
      <c r="E30" s="18" t="s">
        <v>24</v>
      </c>
      <c r="F30" s="45">
        <v>2</v>
      </c>
      <c r="G30" s="46">
        <v>4</v>
      </c>
      <c r="H30" s="45">
        <v>2</v>
      </c>
      <c r="I30" s="46">
        <v>3</v>
      </c>
      <c r="J30" s="45">
        <v>2</v>
      </c>
      <c r="K30" s="46">
        <v>3</v>
      </c>
      <c r="L30" s="45">
        <v>3</v>
      </c>
      <c r="M30" s="46">
        <v>3</v>
      </c>
    </row>
    <row r="31" spans="1:13" x14ac:dyDescent="0.25">
      <c r="A31" s="16"/>
      <c r="B31" s="16" t="s">
        <v>23</v>
      </c>
      <c r="C31" s="20" t="s">
        <v>48</v>
      </c>
      <c r="D31" s="19" t="s">
        <v>81</v>
      </c>
      <c r="E31" s="18" t="s">
        <v>24</v>
      </c>
      <c r="F31" s="45">
        <v>3</v>
      </c>
      <c r="G31" s="46">
        <v>4</v>
      </c>
      <c r="H31" s="45">
        <v>3</v>
      </c>
      <c r="I31" s="46">
        <v>3</v>
      </c>
      <c r="J31" s="45">
        <v>3</v>
      </c>
      <c r="K31" s="46">
        <v>3</v>
      </c>
      <c r="L31" s="45"/>
      <c r="M31" s="46"/>
    </row>
    <row r="32" spans="1:13" x14ac:dyDescent="0.25">
      <c r="A32" s="16"/>
      <c r="B32" s="16" t="s">
        <v>10</v>
      </c>
      <c r="C32" s="20" t="s">
        <v>49</v>
      </c>
      <c r="D32" s="19" t="s">
        <v>82</v>
      </c>
      <c r="E32" s="18" t="s">
        <v>24</v>
      </c>
      <c r="F32" s="45"/>
      <c r="G32" s="46"/>
      <c r="H32" s="45">
        <v>3</v>
      </c>
      <c r="I32" s="46">
        <v>3</v>
      </c>
      <c r="J32" s="45">
        <v>4</v>
      </c>
      <c r="K32" s="46">
        <v>4</v>
      </c>
      <c r="L32" s="45">
        <v>4</v>
      </c>
      <c r="M32" s="46">
        <v>5</v>
      </c>
    </row>
    <row r="33" spans="1:13" x14ac:dyDescent="0.25">
      <c r="A33" s="16"/>
      <c r="B33" s="16" t="s">
        <v>10</v>
      </c>
      <c r="C33" s="20" t="s">
        <v>50</v>
      </c>
      <c r="D33" s="19" t="s">
        <v>83</v>
      </c>
      <c r="E33" s="18" t="s">
        <v>24</v>
      </c>
      <c r="F33" s="45"/>
      <c r="G33" s="46"/>
      <c r="H33" s="45">
        <v>4</v>
      </c>
      <c r="I33" s="46">
        <v>4</v>
      </c>
      <c r="J33" s="45">
        <v>5</v>
      </c>
      <c r="K33" s="46">
        <v>5</v>
      </c>
      <c r="L33" s="45">
        <v>5</v>
      </c>
      <c r="M33" s="46">
        <v>5</v>
      </c>
    </row>
    <row r="34" spans="1:13" x14ac:dyDescent="0.25">
      <c r="A34" s="16"/>
      <c r="B34" s="16" t="s">
        <v>28</v>
      </c>
      <c r="C34" s="20" t="s">
        <v>51</v>
      </c>
      <c r="D34" s="16" t="s">
        <v>168</v>
      </c>
      <c r="E34" s="18" t="s">
        <v>33</v>
      </c>
      <c r="F34" s="45">
        <v>5</v>
      </c>
      <c r="G34" s="46">
        <v>5</v>
      </c>
      <c r="H34" s="45">
        <v>5</v>
      </c>
      <c r="I34" s="46">
        <v>5</v>
      </c>
      <c r="J34" s="45"/>
      <c r="K34" s="46">
        <v>5</v>
      </c>
      <c r="L34" s="45"/>
      <c r="M34" s="46">
        <v>5</v>
      </c>
    </row>
    <row r="35" spans="1:13" x14ac:dyDescent="0.25">
      <c r="A35" s="7"/>
      <c r="B35" s="21" t="s">
        <v>29</v>
      </c>
      <c r="C35" s="22" t="s">
        <v>29</v>
      </c>
      <c r="D35" s="9" t="s">
        <v>29</v>
      </c>
      <c r="E35" s="9" t="s">
        <v>33</v>
      </c>
      <c r="F35" s="47">
        <v>0</v>
      </c>
      <c r="G35" s="48"/>
      <c r="H35" s="47">
        <v>0</v>
      </c>
      <c r="I35" s="48"/>
      <c r="J35" s="47"/>
      <c r="K35" s="48"/>
      <c r="L35" s="47">
        <v>0</v>
      </c>
      <c r="M35" s="48"/>
    </row>
    <row r="36" spans="1:13" x14ac:dyDescent="0.25">
      <c r="A36" s="4"/>
      <c r="B36" s="4"/>
      <c r="D36" s="4"/>
      <c r="F36" s="39"/>
      <c r="G36" s="40"/>
      <c r="H36" s="39"/>
      <c r="I36" s="40"/>
      <c r="J36" s="39"/>
      <c r="K36" s="40"/>
      <c r="L36" s="39"/>
      <c r="M36" s="40"/>
    </row>
    <row r="37" spans="1:13" x14ac:dyDescent="0.25">
      <c r="A37" s="4" t="s">
        <v>31</v>
      </c>
      <c r="B37" s="4"/>
      <c r="D37" s="4"/>
      <c r="F37" s="39"/>
      <c r="G37" s="40"/>
      <c r="H37" s="39"/>
      <c r="I37" s="40"/>
      <c r="J37" s="39"/>
      <c r="K37" s="40"/>
      <c r="L37" s="39"/>
      <c r="M37" s="40"/>
    </row>
    <row r="38" spans="1:13" x14ac:dyDescent="0.25">
      <c r="A38" s="10"/>
      <c r="B38" s="11" t="s">
        <v>92</v>
      </c>
      <c r="C38" s="27" t="s">
        <v>113</v>
      </c>
      <c r="D38" s="11" t="s">
        <v>110</v>
      </c>
      <c r="E38" s="12" t="s">
        <v>24</v>
      </c>
      <c r="F38" s="63"/>
      <c r="G38" s="44"/>
      <c r="H38" s="63"/>
      <c r="I38" s="44"/>
      <c r="J38" s="63"/>
      <c r="K38" s="44"/>
      <c r="L38" s="63"/>
      <c r="M38" s="44"/>
    </row>
    <row r="39" spans="1:13" ht="15.75" thickBot="1" x14ac:dyDescent="0.3">
      <c r="B39" s="4"/>
      <c r="C39" s="2"/>
      <c r="D39" s="4"/>
      <c r="E39" s="5"/>
      <c r="F39" s="62"/>
      <c r="G39" s="40"/>
      <c r="H39" s="62"/>
      <c r="I39" s="40"/>
      <c r="J39" s="62"/>
      <c r="K39" s="40"/>
      <c r="L39" s="62"/>
      <c r="M39" s="40"/>
    </row>
    <row r="40" spans="1:13" x14ac:dyDescent="0.25">
      <c r="D40" s="4"/>
      <c r="F40" s="64"/>
      <c r="G40" s="52"/>
      <c r="H40" s="64"/>
      <c r="I40" s="52"/>
      <c r="J40" s="64"/>
      <c r="K40" s="52"/>
      <c r="L40" s="64"/>
      <c r="M40" s="52"/>
    </row>
    <row r="41" spans="1:13" x14ac:dyDescent="0.25">
      <c r="D41" s="4" t="s">
        <v>30</v>
      </c>
      <c r="F41" s="65">
        <f t="shared" ref="F41:M41" si="4">+F27+F17+F8+F5</f>
        <v>100</v>
      </c>
      <c r="G41" s="54">
        <f t="shared" si="4"/>
        <v>100</v>
      </c>
      <c r="H41" s="65">
        <f t="shared" si="4"/>
        <v>99</v>
      </c>
      <c r="I41" s="54">
        <f t="shared" si="4"/>
        <v>100</v>
      </c>
      <c r="J41" s="65">
        <f t="shared" si="4"/>
        <v>99</v>
      </c>
      <c r="K41" s="54">
        <f t="shared" si="4"/>
        <v>99</v>
      </c>
      <c r="L41" s="65">
        <f t="shared" si="4"/>
        <v>99</v>
      </c>
      <c r="M41" s="54">
        <f t="shared" si="4"/>
        <v>99</v>
      </c>
    </row>
    <row r="42" spans="1:13" ht="15.75" thickBot="1" x14ac:dyDescent="0.3">
      <c r="D42" s="4" t="s">
        <v>32</v>
      </c>
      <c r="F42" s="66">
        <f t="shared" ref="F42:M42" si="5">SUMIF($E$5:$E$38,"&lt;&gt;CHF",F5:F38)-100</f>
        <v>82</v>
      </c>
      <c r="G42" s="56">
        <f t="shared" si="5"/>
        <v>60</v>
      </c>
      <c r="H42" s="66">
        <f t="shared" si="5"/>
        <v>84</v>
      </c>
      <c r="I42" s="56">
        <f t="shared" si="5"/>
        <v>70</v>
      </c>
      <c r="J42" s="66">
        <f t="shared" si="5"/>
        <v>96</v>
      </c>
      <c r="K42" s="56">
        <f t="shared" si="5"/>
        <v>78</v>
      </c>
      <c r="L42" s="66">
        <f t="shared" si="5"/>
        <v>96</v>
      </c>
      <c r="M42" s="56">
        <f t="shared" si="5"/>
        <v>83</v>
      </c>
    </row>
    <row r="43" spans="1:13" x14ac:dyDescent="0.25">
      <c r="D43" s="4"/>
      <c r="F43" s="57"/>
      <c r="G43" s="57"/>
    </row>
    <row r="47" spans="1:13" x14ac:dyDescent="0.25">
      <c r="F47" s="59">
        <v>-81</v>
      </c>
      <c r="G47" s="59">
        <v>-72</v>
      </c>
      <c r="H47" s="59">
        <v>-85</v>
      </c>
      <c r="I47" s="59">
        <v>-74</v>
      </c>
      <c r="J47" s="59">
        <v>-88</v>
      </c>
      <c r="K47" s="59">
        <v>-75</v>
      </c>
      <c r="L47" s="59">
        <v>-88</v>
      </c>
      <c r="M47" s="59">
        <v>-75</v>
      </c>
    </row>
  </sheetData>
  <mergeCells count="5">
    <mergeCell ref="F1:M1"/>
    <mergeCell ref="F2:G2"/>
    <mergeCell ref="H2:I2"/>
    <mergeCell ref="J2:K2"/>
    <mergeCell ref="L2:M2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8"/>
  <sheetViews>
    <sheetView workbookViewId="0">
      <selection activeCell="D34" sqref="D34"/>
    </sheetView>
  </sheetViews>
  <sheetFormatPr defaultRowHeight="15" outlineLevelCol="1" x14ac:dyDescent="0.25"/>
  <cols>
    <col min="1" max="1" width="11.85546875" style="3" bestFit="1" customWidth="1"/>
    <col min="2" max="2" width="20.85546875" style="3" bestFit="1" customWidth="1"/>
    <col min="3" max="3" width="28" style="3" customWidth="1" outlineLevel="1"/>
    <col min="4" max="4" width="29.42578125" style="3" bestFit="1" customWidth="1"/>
    <col min="5" max="5" width="5.85546875" style="3" bestFit="1" customWidth="1"/>
    <col min="6" max="7" width="10.5703125" style="59" customWidth="1"/>
    <col min="8" max="13" width="9.140625" style="59"/>
    <col min="14" max="16384" width="9.140625" style="3"/>
  </cols>
  <sheetData>
    <row r="1" spans="1:13" ht="15.75" thickBot="1" x14ac:dyDescent="0.3">
      <c r="A1" s="23"/>
      <c r="B1" s="24"/>
      <c r="C1" s="24"/>
      <c r="D1" s="24"/>
      <c r="E1" s="24"/>
      <c r="F1" s="90" t="s">
        <v>13</v>
      </c>
      <c r="G1" s="91"/>
      <c r="H1" s="91"/>
      <c r="I1" s="91"/>
      <c r="J1" s="91"/>
      <c r="K1" s="91"/>
      <c r="L1" s="91"/>
      <c r="M1" s="92"/>
    </row>
    <row r="2" spans="1:13" x14ac:dyDescent="0.25">
      <c r="A2" s="23"/>
      <c r="B2" s="24"/>
      <c r="C2" s="24"/>
      <c r="D2" s="24"/>
      <c r="E2" s="24"/>
      <c r="F2" s="95" t="s">
        <v>15</v>
      </c>
      <c r="G2" s="94"/>
      <c r="H2" s="93" t="s">
        <v>14</v>
      </c>
      <c r="I2" s="94"/>
      <c r="J2" s="93" t="s">
        <v>16</v>
      </c>
      <c r="K2" s="94"/>
      <c r="L2" s="93" t="s">
        <v>17</v>
      </c>
      <c r="M2" s="96"/>
    </row>
    <row r="3" spans="1:13" ht="15.75" thickBot="1" x14ac:dyDescent="0.3">
      <c r="A3" s="25" t="s">
        <v>37</v>
      </c>
      <c r="B3" s="26" t="s">
        <v>38</v>
      </c>
      <c r="C3" s="26" t="s">
        <v>117</v>
      </c>
      <c r="D3" s="26" t="s">
        <v>18</v>
      </c>
      <c r="E3" s="26" t="s">
        <v>118</v>
      </c>
      <c r="F3" s="67" t="s">
        <v>12</v>
      </c>
      <c r="G3" s="61" t="s">
        <v>11</v>
      </c>
      <c r="H3" s="60" t="s">
        <v>12</v>
      </c>
      <c r="I3" s="61" t="s">
        <v>11</v>
      </c>
      <c r="J3" s="60" t="s">
        <v>12</v>
      </c>
      <c r="K3" s="61" t="s">
        <v>11</v>
      </c>
      <c r="L3" s="60" t="s">
        <v>12</v>
      </c>
      <c r="M3" s="68" t="s">
        <v>11</v>
      </c>
    </row>
    <row r="4" spans="1:13" x14ac:dyDescent="0.25">
      <c r="F4" s="39"/>
      <c r="G4" s="40"/>
      <c r="H4" s="39"/>
      <c r="I4" s="40"/>
      <c r="J4" s="39"/>
      <c r="K4" s="40"/>
      <c r="L4" s="39"/>
      <c r="M4" s="40"/>
    </row>
    <row r="5" spans="1:13" x14ac:dyDescent="0.25">
      <c r="A5" s="7" t="s">
        <v>0</v>
      </c>
      <c r="B5" s="7"/>
      <c r="C5" s="7"/>
      <c r="D5" s="8"/>
      <c r="E5" s="8"/>
      <c r="F5" s="41">
        <f t="shared" ref="F5:M5" si="0">SUM(F6)</f>
        <v>10</v>
      </c>
      <c r="G5" s="42">
        <f t="shared" si="0"/>
        <v>30</v>
      </c>
      <c r="H5" s="41">
        <f t="shared" si="0"/>
        <v>5</v>
      </c>
      <c r="I5" s="42">
        <f t="shared" si="0"/>
        <v>20</v>
      </c>
      <c r="J5" s="41">
        <f t="shared" si="0"/>
        <v>2</v>
      </c>
      <c r="K5" s="42">
        <f t="shared" si="0"/>
        <v>15</v>
      </c>
      <c r="L5" s="41">
        <f t="shared" si="0"/>
        <v>2</v>
      </c>
      <c r="M5" s="42">
        <f t="shared" si="0"/>
        <v>10</v>
      </c>
    </row>
    <row r="6" spans="1:13" x14ac:dyDescent="0.25">
      <c r="A6" s="10"/>
      <c r="B6" s="11" t="s">
        <v>1</v>
      </c>
      <c r="C6" s="11" t="s">
        <v>1</v>
      </c>
      <c r="D6" s="12" t="s">
        <v>1</v>
      </c>
      <c r="E6" s="12" t="s">
        <v>34</v>
      </c>
      <c r="F6" s="43">
        <v>10</v>
      </c>
      <c r="G6" s="44">
        <v>30</v>
      </c>
      <c r="H6" s="43">
        <v>5</v>
      </c>
      <c r="I6" s="44">
        <v>20</v>
      </c>
      <c r="J6" s="43">
        <v>2</v>
      </c>
      <c r="K6" s="44">
        <v>15</v>
      </c>
      <c r="L6" s="43">
        <v>2</v>
      </c>
      <c r="M6" s="44">
        <v>10</v>
      </c>
    </row>
    <row r="7" spans="1:13" x14ac:dyDescent="0.25">
      <c r="F7" s="39"/>
      <c r="G7" s="40"/>
      <c r="H7" s="39"/>
      <c r="I7" s="40"/>
      <c r="J7" s="39"/>
      <c r="K7" s="40"/>
      <c r="L7" s="39"/>
      <c r="M7" s="40"/>
    </row>
    <row r="8" spans="1:13" x14ac:dyDescent="0.25">
      <c r="A8" s="7" t="s">
        <v>2</v>
      </c>
      <c r="B8" s="7"/>
      <c r="C8" s="7"/>
      <c r="D8" s="8"/>
      <c r="E8" s="9"/>
      <c r="F8" s="41">
        <f t="shared" ref="F8:M8" si="1">SUM(F9:F15)</f>
        <v>20</v>
      </c>
      <c r="G8" s="42">
        <f>SUM(G9:G15)</f>
        <v>15</v>
      </c>
      <c r="H8" s="41">
        <f t="shared" si="1"/>
        <v>29</v>
      </c>
      <c r="I8" s="42">
        <f t="shared" si="1"/>
        <v>21</v>
      </c>
      <c r="J8" s="41">
        <f t="shared" si="1"/>
        <v>50</v>
      </c>
      <c r="K8" s="42">
        <f t="shared" si="1"/>
        <v>40</v>
      </c>
      <c r="L8" s="41">
        <f t="shared" si="1"/>
        <v>70</v>
      </c>
      <c r="M8" s="42">
        <f t="shared" si="1"/>
        <v>56</v>
      </c>
    </row>
    <row r="9" spans="1:13" x14ac:dyDescent="0.25">
      <c r="A9" s="4"/>
      <c r="B9" s="4" t="s">
        <v>19</v>
      </c>
      <c r="C9" s="3" t="s">
        <v>39</v>
      </c>
      <c r="D9" s="4" t="s">
        <v>66</v>
      </c>
      <c r="E9" s="5" t="s">
        <v>24</v>
      </c>
      <c r="F9" s="45">
        <v>16</v>
      </c>
      <c r="G9" s="46">
        <v>11</v>
      </c>
      <c r="H9" s="45">
        <v>22</v>
      </c>
      <c r="I9" s="46">
        <v>14</v>
      </c>
      <c r="J9" s="45">
        <v>40</v>
      </c>
      <c r="K9" s="46">
        <v>30</v>
      </c>
      <c r="L9" s="45">
        <v>57</v>
      </c>
      <c r="M9" s="46">
        <v>43</v>
      </c>
    </row>
    <row r="10" spans="1:13" x14ac:dyDescent="0.25">
      <c r="A10" s="4"/>
      <c r="B10" s="4" t="s">
        <v>3</v>
      </c>
      <c r="C10" s="3" t="s">
        <v>63</v>
      </c>
      <c r="D10" s="4" t="s">
        <v>67</v>
      </c>
      <c r="E10" s="5" t="s">
        <v>24</v>
      </c>
      <c r="F10" s="45">
        <v>0</v>
      </c>
      <c r="G10" s="46">
        <v>2</v>
      </c>
      <c r="H10" s="45">
        <v>0</v>
      </c>
      <c r="I10" s="46">
        <v>2</v>
      </c>
      <c r="J10" s="45">
        <v>0</v>
      </c>
      <c r="K10" s="46">
        <v>2</v>
      </c>
      <c r="L10" s="45">
        <v>0</v>
      </c>
      <c r="M10" s="46">
        <v>2</v>
      </c>
    </row>
    <row r="11" spans="1:13" x14ac:dyDescent="0.25">
      <c r="A11" s="4"/>
      <c r="B11" s="4" t="s">
        <v>4</v>
      </c>
      <c r="C11" s="3" t="s">
        <v>41</v>
      </c>
      <c r="D11" s="4" t="s">
        <v>68</v>
      </c>
      <c r="E11" s="5" t="s">
        <v>24</v>
      </c>
      <c r="F11" s="45">
        <v>2</v>
      </c>
      <c r="G11" s="46">
        <v>0</v>
      </c>
      <c r="H11" s="45">
        <v>2</v>
      </c>
      <c r="I11" s="46">
        <v>0</v>
      </c>
      <c r="J11" s="45">
        <v>4</v>
      </c>
      <c r="K11" s="46">
        <v>3</v>
      </c>
      <c r="L11" s="45">
        <v>5</v>
      </c>
      <c r="M11" s="46">
        <v>4</v>
      </c>
    </row>
    <row r="12" spans="1:13" x14ac:dyDescent="0.25">
      <c r="A12" s="4"/>
      <c r="B12" s="4" t="s">
        <v>57</v>
      </c>
      <c r="C12" s="3" t="s">
        <v>58</v>
      </c>
      <c r="D12" s="4" t="s">
        <v>69</v>
      </c>
      <c r="E12" s="5" t="s">
        <v>34</v>
      </c>
      <c r="F12" s="45">
        <v>2</v>
      </c>
      <c r="G12" s="46">
        <v>2</v>
      </c>
      <c r="H12" s="45">
        <v>3</v>
      </c>
      <c r="I12" s="46">
        <v>3</v>
      </c>
      <c r="J12" s="45">
        <v>4</v>
      </c>
      <c r="K12" s="46">
        <v>3</v>
      </c>
      <c r="L12" s="45">
        <v>5</v>
      </c>
      <c r="M12" s="46">
        <v>4</v>
      </c>
    </row>
    <row r="13" spans="1:13" x14ac:dyDescent="0.25">
      <c r="A13" s="4"/>
      <c r="B13" s="4" t="s">
        <v>5</v>
      </c>
      <c r="C13" s="3" t="s">
        <v>59</v>
      </c>
      <c r="D13" s="4" t="s">
        <v>70</v>
      </c>
      <c r="E13" s="5" t="s">
        <v>24</v>
      </c>
      <c r="F13" s="45">
        <v>0</v>
      </c>
      <c r="G13" s="46">
        <v>0</v>
      </c>
      <c r="H13" s="45">
        <v>0</v>
      </c>
      <c r="I13" s="46">
        <v>0</v>
      </c>
      <c r="J13" s="45">
        <v>0</v>
      </c>
      <c r="K13" s="46">
        <v>0</v>
      </c>
      <c r="L13" s="45">
        <v>0</v>
      </c>
      <c r="M13" s="46">
        <v>0</v>
      </c>
    </row>
    <row r="14" spans="1:13" x14ac:dyDescent="0.25">
      <c r="A14" s="4"/>
      <c r="B14" s="4" t="s">
        <v>20</v>
      </c>
      <c r="C14" s="3" t="s">
        <v>42</v>
      </c>
      <c r="D14" s="4" t="s">
        <v>71</v>
      </c>
      <c r="E14" s="5" t="s">
        <v>24</v>
      </c>
      <c r="F14" s="45">
        <v>0</v>
      </c>
      <c r="G14" s="46">
        <v>0</v>
      </c>
      <c r="H14" s="45">
        <v>2</v>
      </c>
      <c r="I14" s="46">
        <v>2</v>
      </c>
      <c r="J14" s="45">
        <v>2</v>
      </c>
      <c r="K14" s="46">
        <v>2</v>
      </c>
      <c r="L14" s="45">
        <v>3</v>
      </c>
      <c r="M14" s="46">
        <v>3</v>
      </c>
    </row>
    <row r="15" spans="1:13" x14ac:dyDescent="0.25">
      <c r="A15" s="4"/>
      <c r="B15" s="4" t="s">
        <v>21</v>
      </c>
      <c r="C15" s="3" t="s">
        <v>21</v>
      </c>
      <c r="D15" s="4" t="s">
        <v>21</v>
      </c>
      <c r="E15" s="5" t="s">
        <v>34</v>
      </c>
      <c r="F15" s="47"/>
      <c r="G15" s="48"/>
      <c r="H15" s="47"/>
      <c r="I15" s="48"/>
      <c r="J15" s="47"/>
      <c r="K15" s="48"/>
      <c r="L15" s="47"/>
      <c r="M15" s="48"/>
    </row>
    <row r="16" spans="1:13" x14ac:dyDescent="0.25">
      <c r="A16" s="4"/>
      <c r="B16" s="4"/>
      <c r="D16" s="4"/>
      <c r="F16" s="39"/>
      <c r="G16" s="40"/>
      <c r="H16" s="39"/>
      <c r="I16" s="40"/>
      <c r="J16" s="39"/>
      <c r="K16" s="40"/>
      <c r="L16" s="39"/>
      <c r="M16" s="40"/>
    </row>
    <row r="17" spans="1:13" x14ac:dyDescent="0.25">
      <c r="A17" s="7" t="s">
        <v>6</v>
      </c>
      <c r="B17" s="7"/>
      <c r="C17" s="7"/>
      <c r="D17" s="7"/>
      <c r="E17" s="8"/>
      <c r="F17" s="41">
        <f t="shared" ref="F17:M17" si="2">SUM(F18:F25)</f>
        <v>60</v>
      </c>
      <c r="G17" s="42">
        <f t="shared" si="2"/>
        <v>42</v>
      </c>
      <c r="H17" s="41">
        <f t="shared" si="2"/>
        <v>45</v>
      </c>
      <c r="I17" s="42">
        <f t="shared" si="2"/>
        <v>38</v>
      </c>
      <c r="J17" s="41">
        <f t="shared" si="2"/>
        <v>30</v>
      </c>
      <c r="K17" s="42">
        <f t="shared" si="2"/>
        <v>21</v>
      </c>
      <c r="L17" s="41">
        <f t="shared" si="2"/>
        <v>12</v>
      </c>
      <c r="M17" s="42">
        <f t="shared" si="2"/>
        <v>12</v>
      </c>
    </row>
    <row r="18" spans="1:13" x14ac:dyDescent="0.25">
      <c r="A18" s="13"/>
      <c r="B18" s="13" t="s">
        <v>22</v>
      </c>
      <c r="C18" s="14" t="s">
        <v>43</v>
      </c>
      <c r="D18" s="13" t="s">
        <v>72</v>
      </c>
      <c r="E18" s="15" t="s">
        <v>24</v>
      </c>
      <c r="F18" s="49">
        <v>48</v>
      </c>
      <c r="G18" s="50">
        <v>32</v>
      </c>
      <c r="H18" s="49">
        <v>31</v>
      </c>
      <c r="I18" s="50">
        <v>25</v>
      </c>
      <c r="J18" s="49">
        <v>25</v>
      </c>
      <c r="K18" s="50">
        <v>16</v>
      </c>
      <c r="L18" s="49">
        <v>8</v>
      </c>
      <c r="M18" s="50">
        <v>8</v>
      </c>
    </row>
    <row r="19" spans="1:13" x14ac:dyDescent="0.25">
      <c r="A19" s="16"/>
      <c r="B19" s="16" t="s">
        <v>8</v>
      </c>
      <c r="C19" s="29" t="s">
        <v>44</v>
      </c>
      <c r="D19" s="16" t="s">
        <v>73</v>
      </c>
      <c r="E19" s="18" t="s">
        <v>24</v>
      </c>
      <c r="F19" s="45">
        <v>3</v>
      </c>
      <c r="G19" s="46">
        <v>0</v>
      </c>
      <c r="H19" s="45">
        <v>0</v>
      </c>
      <c r="I19" s="46">
        <v>0</v>
      </c>
      <c r="J19" s="45">
        <v>0</v>
      </c>
      <c r="K19" s="46">
        <v>0</v>
      </c>
      <c r="L19" s="45">
        <v>0</v>
      </c>
      <c r="M19" s="46">
        <v>0</v>
      </c>
    </row>
    <row r="20" spans="1:13" x14ac:dyDescent="0.25">
      <c r="A20" s="16"/>
      <c r="B20" s="16" t="s">
        <v>8</v>
      </c>
      <c r="C20" s="29" t="s">
        <v>45</v>
      </c>
      <c r="D20" s="16" t="s">
        <v>74</v>
      </c>
      <c r="E20" s="18" t="s">
        <v>24</v>
      </c>
      <c r="F20" s="45">
        <v>3</v>
      </c>
      <c r="G20" s="46">
        <v>0</v>
      </c>
      <c r="H20" s="45">
        <v>3</v>
      </c>
      <c r="I20" s="46"/>
      <c r="J20" s="45"/>
      <c r="K20" s="46">
        <v>0</v>
      </c>
      <c r="L20" s="45"/>
      <c r="M20" s="46">
        <v>0</v>
      </c>
    </row>
    <row r="21" spans="1:13" x14ac:dyDescent="0.25">
      <c r="A21" s="16"/>
      <c r="B21" s="16" t="s">
        <v>7</v>
      </c>
      <c r="C21" s="29" t="s">
        <v>40</v>
      </c>
      <c r="D21" s="16" t="s">
        <v>75</v>
      </c>
      <c r="E21" s="18" t="s">
        <v>24</v>
      </c>
      <c r="F21" s="45">
        <v>3</v>
      </c>
      <c r="G21" s="46">
        <v>5</v>
      </c>
      <c r="H21" s="45">
        <v>4</v>
      </c>
      <c r="I21" s="46">
        <v>5</v>
      </c>
      <c r="J21" s="45">
        <v>3</v>
      </c>
      <c r="K21" s="46">
        <v>3</v>
      </c>
      <c r="L21" s="45">
        <v>2</v>
      </c>
      <c r="M21" s="46">
        <v>2</v>
      </c>
    </row>
    <row r="22" spans="1:13" x14ac:dyDescent="0.25">
      <c r="A22" s="16"/>
      <c r="B22" s="16" t="s">
        <v>8</v>
      </c>
      <c r="C22" s="29" t="s">
        <v>61</v>
      </c>
      <c r="D22" s="16" t="s">
        <v>86</v>
      </c>
      <c r="E22" s="18" t="s">
        <v>34</v>
      </c>
      <c r="F22" s="45"/>
      <c r="G22" s="46"/>
      <c r="H22" s="45"/>
      <c r="I22" s="46"/>
      <c r="J22" s="45"/>
      <c r="K22" s="46"/>
      <c r="L22" s="45"/>
      <c r="M22" s="46"/>
    </row>
    <row r="23" spans="1:13" x14ac:dyDescent="0.25">
      <c r="A23" s="16"/>
      <c r="B23" s="16" t="s">
        <v>25</v>
      </c>
      <c r="C23" s="2" t="s">
        <v>52</v>
      </c>
      <c r="D23" s="6" t="s">
        <v>87</v>
      </c>
      <c r="E23" s="18" t="s">
        <v>34</v>
      </c>
      <c r="F23" s="45">
        <v>3</v>
      </c>
      <c r="G23" s="46">
        <v>5</v>
      </c>
      <c r="H23" s="45">
        <v>4</v>
      </c>
      <c r="I23" s="46">
        <v>5</v>
      </c>
      <c r="J23" s="45"/>
      <c r="K23" s="46"/>
      <c r="L23" s="45"/>
      <c r="M23" s="46"/>
    </row>
    <row r="24" spans="1:13" x14ac:dyDescent="0.25">
      <c r="A24" s="16"/>
      <c r="B24" s="16" t="s">
        <v>56</v>
      </c>
      <c r="C24" s="17" t="s">
        <v>65</v>
      </c>
      <c r="D24" s="16" t="s">
        <v>78</v>
      </c>
      <c r="E24" s="18" t="s">
        <v>24</v>
      </c>
      <c r="F24" s="45"/>
      <c r="G24" s="46"/>
      <c r="H24" s="45">
        <v>3</v>
      </c>
      <c r="I24" s="46">
        <v>3</v>
      </c>
      <c r="J24" s="45">
        <v>2</v>
      </c>
      <c r="K24" s="46">
        <v>2</v>
      </c>
      <c r="L24" s="45">
        <v>2</v>
      </c>
      <c r="M24" s="46">
        <v>2</v>
      </c>
    </row>
    <row r="25" spans="1:13" x14ac:dyDescent="0.25">
      <c r="A25" s="7"/>
      <c r="B25" s="7" t="s">
        <v>26</v>
      </c>
      <c r="C25" s="8" t="s">
        <v>26</v>
      </c>
      <c r="D25" s="7" t="s">
        <v>26</v>
      </c>
      <c r="E25" s="9" t="s">
        <v>24</v>
      </c>
      <c r="F25" s="47">
        <v>0</v>
      </c>
      <c r="G25" s="48">
        <v>0</v>
      </c>
      <c r="H25" s="47">
        <v>0</v>
      </c>
      <c r="I25" s="48"/>
      <c r="J25" s="47">
        <v>0</v>
      </c>
      <c r="K25" s="48"/>
      <c r="L25" s="47">
        <v>0</v>
      </c>
      <c r="M25" s="48"/>
    </row>
    <row r="26" spans="1:13" x14ac:dyDescent="0.25">
      <c r="A26" s="4"/>
      <c r="B26" s="4"/>
      <c r="D26" s="4"/>
      <c r="F26" s="39"/>
      <c r="G26" s="40"/>
      <c r="H26" s="39"/>
      <c r="I26" s="40"/>
      <c r="J26" s="39"/>
      <c r="K26" s="40"/>
      <c r="L26" s="39"/>
      <c r="M26" s="40"/>
    </row>
    <row r="27" spans="1:13" x14ac:dyDescent="0.25">
      <c r="A27" s="7" t="s">
        <v>9</v>
      </c>
      <c r="B27" s="7"/>
      <c r="C27" s="7"/>
      <c r="D27" s="7"/>
      <c r="E27" s="8"/>
      <c r="F27" s="41">
        <f t="shared" ref="F27:M27" si="3">SUM(F28:F35)</f>
        <v>10</v>
      </c>
      <c r="G27" s="42">
        <f t="shared" si="3"/>
        <v>13</v>
      </c>
      <c r="H27" s="41">
        <f t="shared" si="3"/>
        <v>20</v>
      </c>
      <c r="I27" s="42">
        <f t="shared" si="3"/>
        <v>21</v>
      </c>
      <c r="J27" s="41">
        <f t="shared" si="3"/>
        <v>17</v>
      </c>
      <c r="K27" s="42">
        <f t="shared" si="3"/>
        <v>23</v>
      </c>
      <c r="L27" s="41">
        <f t="shared" si="3"/>
        <v>15</v>
      </c>
      <c r="M27" s="42">
        <f t="shared" si="3"/>
        <v>21</v>
      </c>
    </row>
    <row r="28" spans="1:13" x14ac:dyDescent="0.25">
      <c r="A28" s="16"/>
      <c r="B28" s="16" t="s">
        <v>27</v>
      </c>
      <c r="C28" s="3" t="s">
        <v>116</v>
      </c>
      <c r="D28" s="16" t="s">
        <v>79</v>
      </c>
      <c r="E28" s="18" t="s">
        <v>24</v>
      </c>
      <c r="F28" s="45"/>
      <c r="G28" s="46"/>
      <c r="H28" s="45">
        <v>3</v>
      </c>
      <c r="I28" s="46">
        <v>3</v>
      </c>
      <c r="J28" s="45">
        <v>3</v>
      </c>
      <c r="K28" s="46">
        <v>3</v>
      </c>
      <c r="L28" s="45">
        <v>3</v>
      </c>
      <c r="M28" s="46">
        <v>3</v>
      </c>
    </row>
    <row r="29" spans="1:13" x14ac:dyDescent="0.25">
      <c r="A29" s="16"/>
      <c r="B29" s="16" t="s">
        <v>27</v>
      </c>
      <c r="C29" s="29" t="s">
        <v>47</v>
      </c>
      <c r="D29" s="19" t="s">
        <v>80</v>
      </c>
      <c r="E29" s="18" t="s">
        <v>24</v>
      </c>
      <c r="F29" s="45"/>
      <c r="G29" s="46"/>
      <c r="H29" s="45"/>
      <c r="I29" s="46"/>
      <c r="J29" s="45"/>
      <c r="K29" s="46"/>
      <c r="L29" s="45"/>
      <c r="M29" s="46"/>
    </row>
    <row r="30" spans="1:13" x14ac:dyDescent="0.25">
      <c r="A30" s="16"/>
      <c r="B30" s="16" t="s">
        <v>27</v>
      </c>
      <c r="C30" s="3" t="s">
        <v>165</v>
      </c>
      <c r="D30" s="19" t="s">
        <v>119</v>
      </c>
      <c r="E30" s="18" t="s">
        <v>24</v>
      </c>
      <c r="F30" s="45">
        <v>2</v>
      </c>
      <c r="G30" s="46">
        <v>4</v>
      </c>
      <c r="H30" s="45">
        <v>2</v>
      </c>
      <c r="I30" s="46">
        <v>3</v>
      </c>
      <c r="J30" s="45">
        <v>2</v>
      </c>
      <c r="K30" s="46">
        <v>3</v>
      </c>
      <c r="L30" s="45">
        <v>3</v>
      </c>
      <c r="M30" s="46">
        <v>3</v>
      </c>
    </row>
    <row r="31" spans="1:13" x14ac:dyDescent="0.25">
      <c r="A31" s="16"/>
      <c r="B31" s="16" t="s">
        <v>23</v>
      </c>
      <c r="C31" s="20" t="s">
        <v>48</v>
      </c>
      <c r="D31" s="19" t="s">
        <v>81</v>
      </c>
      <c r="E31" s="18" t="s">
        <v>24</v>
      </c>
      <c r="F31" s="45">
        <v>3</v>
      </c>
      <c r="G31" s="46">
        <v>4</v>
      </c>
      <c r="H31" s="45">
        <v>3</v>
      </c>
      <c r="I31" s="46">
        <v>3</v>
      </c>
      <c r="J31" s="45">
        <v>3</v>
      </c>
      <c r="K31" s="46">
        <v>3</v>
      </c>
      <c r="L31" s="45"/>
      <c r="M31" s="46"/>
    </row>
    <row r="32" spans="1:13" x14ac:dyDescent="0.25">
      <c r="A32" s="16"/>
      <c r="B32" s="16" t="s">
        <v>10</v>
      </c>
      <c r="C32" s="2" t="s">
        <v>53</v>
      </c>
      <c r="D32" s="6" t="s">
        <v>88</v>
      </c>
      <c r="E32" s="18" t="s">
        <v>34</v>
      </c>
      <c r="F32" s="45"/>
      <c r="G32" s="46"/>
      <c r="H32" s="45">
        <v>3</v>
      </c>
      <c r="I32" s="46">
        <v>3</v>
      </c>
      <c r="J32" s="45">
        <v>4</v>
      </c>
      <c r="K32" s="46">
        <v>4</v>
      </c>
      <c r="L32" s="45">
        <v>4</v>
      </c>
      <c r="M32" s="46">
        <v>5</v>
      </c>
    </row>
    <row r="33" spans="1:13" x14ac:dyDescent="0.25">
      <c r="A33" s="16"/>
      <c r="B33" s="16" t="s">
        <v>10</v>
      </c>
      <c r="C33" s="20" t="s">
        <v>50</v>
      </c>
      <c r="D33" s="19" t="s">
        <v>83</v>
      </c>
      <c r="E33" s="18" t="s">
        <v>34</v>
      </c>
      <c r="F33" s="45"/>
      <c r="G33" s="46"/>
      <c r="H33" s="45">
        <v>4</v>
      </c>
      <c r="I33" s="46">
        <v>4</v>
      </c>
      <c r="J33" s="45">
        <v>5</v>
      </c>
      <c r="K33" s="46">
        <v>5</v>
      </c>
      <c r="L33" s="45">
        <v>5</v>
      </c>
      <c r="M33" s="46">
        <v>5</v>
      </c>
    </row>
    <row r="34" spans="1:13" x14ac:dyDescent="0.25">
      <c r="A34" s="16"/>
      <c r="B34" s="16" t="s">
        <v>28</v>
      </c>
      <c r="C34" s="20" t="s">
        <v>35</v>
      </c>
      <c r="D34" s="16" t="s">
        <v>89</v>
      </c>
      <c r="E34" s="18" t="s">
        <v>34</v>
      </c>
      <c r="F34" s="45">
        <v>5</v>
      </c>
      <c r="G34" s="46">
        <v>5</v>
      </c>
      <c r="H34" s="45">
        <v>5</v>
      </c>
      <c r="I34" s="46">
        <v>5</v>
      </c>
      <c r="J34" s="45"/>
      <c r="K34" s="46">
        <v>5</v>
      </c>
      <c r="L34" s="45"/>
      <c r="M34" s="46">
        <v>5</v>
      </c>
    </row>
    <row r="35" spans="1:13" x14ac:dyDescent="0.25">
      <c r="A35" s="7"/>
      <c r="B35" s="21" t="s">
        <v>29</v>
      </c>
      <c r="C35" s="22" t="s">
        <v>29</v>
      </c>
      <c r="D35" s="9" t="s">
        <v>29</v>
      </c>
      <c r="E35" s="9" t="s">
        <v>34</v>
      </c>
      <c r="F35" s="47">
        <v>0</v>
      </c>
      <c r="G35" s="48"/>
      <c r="H35" s="47">
        <v>0</v>
      </c>
      <c r="I35" s="48"/>
      <c r="J35" s="47"/>
      <c r="K35" s="48"/>
      <c r="L35" s="47">
        <v>0</v>
      </c>
      <c r="M35" s="48"/>
    </row>
    <row r="36" spans="1:13" x14ac:dyDescent="0.25">
      <c r="A36" s="4"/>
      <c r="B36" s="4"/>
      <c r="D36" s="4"/>
      <c r="F36" s="39"/>
      <c r="G36" s="40"/>
      <c r="H36" s="39"/>
      <c r="I36" s="40"/>
      <c r="J36" s="39"/>
      <c r="K36" s="40"/>
      <c r="L36" s="39"/>
      <c r="M36" s="40"/>
    </row>
    <row r="37" spans="1:13" x14ac:dyDescent="0.25">
      <c r="A37" s="4" t="s">
        <v>31</v>
      </c>
      <c r="B37" s="4"/>
      <c r="D37" s="4"/>
      <c r="F37" s="39"/>
      <c r="G37" s="40"/>
      <c r="H37" s="39"/>
      <c r="I37" s="40"/>
      <c r="J37" s="39"/>
      <c r="K37" s="40"/>
      <c r="L37" s="39"/>
      <c r="M37" s="40"/>
    </row>
    <row r="38" spans="1:13" x14ac:dyDescent="0.25">
      <c r="A38" s="10"/>
      <c r="B38" s="11" t="s">
        <v>92</v>
      </c>
      <c r="C38" s="27" t="s">
        <v>114</v>
      </c>
      <c r="D38" s="28" t="s">
        <v>108</v>
      </c>
      <c r="E38" s="12" t="s">
        <v>24</v>
      </c>
      <c r="F38" s="71"/>
      <c r="G38" s="44"/>
      <c r="H38" s="63"/>
      <c r="I38" s="44"/>
      <c r="J38" s="63"/>
      <c r="K38" s="44"/>
      <c r="L38" s="63"/>
      <c r="M38" s="72"/>
    </row>
    <row r="39" spans="1:13" ht="15.75" thickBot="1" x14ac:dyDescent="0.3">
      <c r="B39" s="4"/>
      <c r="C39" s="2"/>
      <c r="D39" s="4"/>
      <c r="E39" s="5"/>
      <c r="F39" s="69"/>
      <c r="G39" s="40"/>
      <c r="H39" s="62"/>
      <c r="I39" s="40"/>
      <c r="J39" s="62"/>
      <c r="K39" s="40"/>
      <c r="L39" s="62"/>
      <c r="M39" s="70"/>
    </row>
    <row r="40" spans="1:13" x14ac:dyDescent="0.25">
      <c r="D40" s="4"/>
      <c r="F40" s="73"/>
      <c r="G40" s="74"/>
      <c r="H40" s="75"/>
      <c r="I40" s="74"/>
      <c r="J40" s="75"/>
      <c r="K40" s="74"/>
      <c r="L40" s="75"/>
      <c r="M40" s="76"/>
    </row>
    <row r="41" spans="1:13" x14ac:dyDescent="0.25">
      <c r="D41" s="4" t="s">
        <v>30</v>
      </c>
      <c r="F41" s="77">
        <f t="shared" ref="F41:M41" si="4">+F27+F17+F8+F5</f>
        <v>100</v>
      </c>
      <c r="G41" s="78">
        <f t="shared" si="4"/>
        <v>100</v>
      </c>
      <c r="H41" s="79">
        <f t="shared" si="4"/>
        <v>99</v>
      </c>
      <c r="I41" s="78">
        <f t="shared" si="4"/>
        <v>100</v>
      </c>
      <c r="J41" s="79">
        <f t="shared" si="4"/>
        <v>99</v>
      </c>
      <c r="K41" s="78">
        <f t="shared" si="4"/>
        <v>99</v>
      </c>
      <c r="L41" s="79">
        <f t="shared" si="4"/>
        <v>99</v>
      </c>
      <c r="M41" s="80">
        <f t="shared" si="4"/>
        <v>99</v>
      </c>
    </row>
    <row r="42" spans="1:13" ht="15.75" thickBot="1" x14ac:dyDescent="0.3">
      <c r="D42" s="4" t="s">
        <v>32</v>
      </c>
      <c r="F42" s="81">
        <f t="shared" ref="F42:M42" si="5">SUMIF($E$5:$E$38,"&lt;&gt;USD",F5:F38)-100</f>
        <v>80</v>
      </c>
      <c r="G42" s="82">
        <f t="shared" si="5"/>
        <v>58</v>
      </c>
      <c r="H42" s="83">
        <f t="shared" si="5"/>
        <v>74</v>
      </c>
      <c r="I42" s="82">
        <f t="shared" si="5"/>
        <v>60</v>
      </c>
      <c r="J42" s="83">
        <f t="shared" si="5"/>
        <v>83</v>
      </c>
      <c r="K42" s="82">
        <f t="shared" si="5"/>
        <v>66</v>
      </c>
      <c r="L42" s="83">
        <f t="shared" si="5"/>
        <v>82</v>
      </c>
      <c r="M42" s="84">
        <f t="shared" si="5"/>
        <v>69</v>
      </c>
    </row>
    <row r="43" spans="1:13" x14ac:dyDescent="0.25">
      <c r="D43" s="4"/>
      <c r="F43" s="57"/>
      <c r="G43" s="57"/>
    </row>
    <row r="46" spans="1:13" x14ac:dyDescent="0.25">
      <c r="F46" s="59">
        <v>-74</v>
      </c>
      <c r="G46" s="59">
        <v>-59</v>
      </c>
      <c r="H46" s="59">
        <v>-77</v>
      </c>
      <c r="I46" s="59">
        <v>-60</v>
      </c>
      <c r="J46" s="59">
        <v>-80</v>
      </c>
      <c r="K46" s="59">
        <v>-63</v>
      </c>
      <c r="L46" s="59">
        <v>-80</v>
      </c>
      <c r="M46" s="59">
        <v>-63</v>
      </c>
    </row>
    <row r="48" spans="1:13" x14ac:dyDescent="0.25">
      <c r="C48" s="2"/>
    </row>
  </sheetData>
  <mergeCells count="5">
    <mergeCell ref="F1:M1"/>
    <mergeCell ref="F2:G2"/>
    <mergeCell ref="H2:I2"/>
    <mergeCell ref="J2:K2"/>
    <mergeCell ref="L2:M2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7"/>
  <sheetViews>
    <sheetView workbookViewId="0">
      <selection activeCell="C34" sqref="C34"/>
    </sheetView>
  </sheetViews>
  <sheetFormatPr defaultRowHeight="15" outlineLevelCol="1" x14ac:dyDescent="0.25"/>
  <cols>
    <col min="1" max="1" width="11.85546875" style="3" bestFit="1" customWidth="1"/>
    <col min="2" max="2" width="20.85546875" style="3" bestFit="1" customWidth="1"/>
    <col min="3" max="3" width="25.85546875" style="3" customWidth="1" outlineLevel="1"/>
    <col min="4" max="4" width="29.42578125" style="3" bestFit="1" customWidth="1"/>
    <col min="5" max="5" width="5.85546875" style="3" bestFit="1" customWidth="1"/>
    <col min="6" max="7" width="10.5703125" style="59" customWidth="1"/>
    <col min="8" max="13" width="9.140625" style="59"/>
    <col min="14" max="16384" width="9.140625" style="3"/>
  </cols>
  <sheetData>
    <row r="1" spans="1:13" ht="15.75" thickBot="1" x14ac:dyDescent="0.3">
      <c r="A1" s="23"/>
      <c r="B1" s="24"/>
      <c r="C1" s="24"/>
      <c r="D1" s="24"/>
      <c r="E1" s="24"/>
      <c r="F1" s="90" t="s">
        <v>13</v>
      </c>
      <c r="G1" s="91"/>
      <c r="H1" s="91"/>
      <c r="I1" s="91"/>
      <c r="J1" s="91"/>
      <c r="K1" s="91"/>
      <c r="L1" s="91"/>
      <c r="M1" s="92"/>
    </row>
    <row r="2" spans="1:13" x14ac:dyDescent="0.25">
      <c r="A2" s="23"/>
      <c r="B2" s="24"/>
      <c r="C2" s="24"/>
      <c r="D2" s="24"/>
      <c r="E2" s="24"/>
      <c r="F2" s="93" t="s">
        <v>15</v>
      </c>
      <c r="G2" s="94"/>
      <c r="H2" s="93" t="s">
        <v>14</v>
      </c>
      <c r="I2" s="94"/>
      <c r="J2" s="93" t="s">
        <v>16</v>
      </c>
      <c r="K2" s="94"/>
      <c r="L2" s="93" t="s">
        <v>17</v>
      </c>
      <c r="M2" s="94"/>
    </row>
    <row r="3" spans="1:13" ht="15.75" thickBot="1" x14ac:dyDescent="0.3">
      <c r="A3" s="25" t="s">
        <v>37</v>
      </c>
      <c r="B3" s="26" t="s">
        <v>38</v>
      </c>
      <c r="C3" s="26" t="s">
        <v>117</v>
      </c>
      <c r="D3" s="26" t="s">
        <v>18</v>
      </c>
      <c r="E3" s="26" t="s">
        <v>118</v>
      </c>
      <c r="F3" s="60" t="s">
        <v>12</v>
      </c>
      <c r="G3" s="61" t="s">
        <v>11</v>
      </c>
      <c r="H3" s="60" t="s">
        <v>12</v>
      </c>
      <c r="I3" s="61" t="s">
        <v>11</v>
      </c>
      <c r="J3" s="60" t="s">
        <v>12</v>
      </c>
      <c r="K3" s="61" t="s">
        <v>11</v>
      </c>
      <c r="L3" s="60" t="s">
        <v>12</v>
      </c>
      <c r="M3" s="61" t="s">
        <v>11</v>
      </c>
    </row>
    <row r="4" spans="1:13" x14ac:dyDescent="0.25">
      <c r="F4" s="39"/>
      <c r="G4" s="40"/>
      <c r="H4" s="39"/>
      <c r="I4" s="40"/>
      <c r="J4" s="39"/>
      <c r="K4" s="40"/>
      <c r="L4" s="39"/>
      <c r="M4" s="40"/>
    </row>
    <row r="5" spans="1:13" x14ac:dyDescent="0.25">
      <c r="A5" s="7" t="s">
        <v>0</v>
      </c>
      <c r="B5" s="7"/>
      <c r="C5" s="7"/>
      <c r="D5" s="8"/>
      <c r="E5" s="8"/>
      <c r="F5" s="41">
        <f t="shared" ref="F5:M5" si="0">SUM(F6)</f>
        <v>10</v>
      </c>
      <c r="G5" s="42">
        <f t="shared" si="0"/>
        <v>30</v>
      </c>
      <c r="H5" s="41">
        <f t="shared" si="0"/>
        <v>5</v>
      </c>
      <c r="I5" s="42">
        <f t="shared" si="0"/>
        <v>20</v>
      </c>
      <c r="J5" s="41">
        <f t="shared" si="0"/>
        <v>2</v>
      </c>
      <c r="K5" s="42">
        <f t="shared" si="0"/>
        <v>15</v>
      </c>
      <c r="L5" s="41">
        <f t="shared" si="0"/>
        <v>2</v>
      </c>
      <c r="M5" s="42">
        <f t="shared" si="0"/>
        <v>10</v>
      </c>
    </row>
    <row r="6" spans="1:13" x14ac:dyDescent="0.25">
      <c r="A6" s="10"/>
      <c r="B6" s="11" t="s">
        <v>1</v>
      </c>
      <c r="C6" s="11" t="s">
        <v>1</v>
      </c>
      <c r="D6" s="12" t="s">
        <v>1</v>
      </c>
      <c r="E6" s="12" t="s">
        <v>36</v>
      </c>
      <c r="F6" s="43">
        <v>10</v>
      </c>
      <c r="G6" s="44">
        <v>30</v>
      </c>
      <c r="H6" s="43">
        <v>5</v>
      </c>
      <c r="I6" s="44">
        <v>20</v>
      </c>
      <c r="J6" s="43">
        <v>2</v>
      </c>
      <c r="K6" s="44">
        <v>15</v>
      </c>
      <c r="L6" s="43">
        <v>2</v>
      </c>
      <c r="M6" s="44">
        <v>10</v>
      </c>
    </row>
    <row r="7" spans="1:13" x14ac:dyDescent="0.25">
      <c r="F7" s="39"/>
      <c r="G7" s="40"/>
      <c r="H7" s="39"/>
      <c r="I7" s="40"/>
      <c r="J7" s="39"/>
      <c r="K7" s="40"/>
      <c r="L7" s="39"/>
      <c r="M7" s="40"/>
    </row>
    <row r="8" spans="1:13" x14ac:dyDescent="0.25">
      <c r="A8" s="7" t="s">
        <v>2</v>
      </c>
      <c r="B8" s="7"/>
      <c r="C8" s="7"/>
      <c r="D8" s="8"/>
      <c r="E8" s="9"/>
      <c r="F8" s="41">
        <f t="shared" ref="F8:M8" si="1">SUM(F9:F15)</f>
        <v>20</v>
      </c>
      <c r="G8" s="42">
        <f>SUM(G9:G15)</f>
        <v>15</v>
      </c>
      <c r="H8" s="41">
        <f t="shared" si="1"/>
        <v>29</v>
      </c>
      <c r="I8" s="42">
        <f t="shared" si="1"/>
        <v>21</v>
      </c>
      <c r="J8" s="41">
        <f t="shared" si="1"/>
        <v>50</v>
      </c>
      <c r="K8" s="42">
        <f t="shared" si="1"/>
        <v>40</v>
      </c>
      <c r="L8" s="41">
        <f t="shared" si="1"/>
        <v>70</v>
      </c>
      <c r="M8" s="42">
        <f t="shared" si="1"/>
        <v>56</v>
      </c>
    </row>
    <row r="9" spans="1:13" x14ac:dyDescent="0.25">
      <c r="A9" s="4"/>
      <c r="B9" s="4" t="s">
        <v>19</v>
      </c>
      <c r="C9" s="3" t="s">
        <v>39</v>
      </c>
      <c r="D9" s="4" t="s">
        <v>66</v>
      </c>
      <c r="E9" s="5" t="s">
        <v>24</v>
      </c>
      <c r="F9" s="45">
        <v>16</v>
      </c>
      <c r="G9" s="46">
        <v>11</v>
      </c>
      <c r="H9" s="45">
        <v>22</v>
      </c>
      <c r="I9" s="46">
        <v>14</v>
      </c>
      <c r="J9" s="45">
        <v>40</v>
      </c>
      <c r="K9" s="46">
        <v>30</v>
      </c>
      <c r="L9" s="45">
        <v>57</v>
      </c>
      <c r="M9" s="46">
        <v>43</v>
      </c>
    </row>
    <row r="10" spans="1:13" x14ac:dyDescent="0.25">
      <c r="A10" s="4"/>
      <c r="B10" s="4" t="s">
        <v>3</v>
      </c>
      <c r="C10" s="3" t="s">
        <v>63</v>
      </c>
      <c r="D10" s="4" t="s">
        <v>67</v>
      </c>
      <c r="E10" s="5" t="s">
        <v>24</v>
      </c>
      <c r="F10" s="45">
        <v>0</v>
      </c>
      <c r="G10" s="46">
        <v>2</v>
      </c>
      <c r="H10" s="45">
        <v>0</v>
      </c>
      <c r="I10" s="46">
        <v>2</v>
      </c>
      <c r="J10" s="45">
        <v>0</v>
      </c>
      <c r="K10" s="46">
        <v>2</v>
      </c>
      <c r="L10" s="45">
        <v>0</v>
      </c>
      <c r="M10" s="46">
        <v>2</v>
      </c>
    </row>
    <row r="11" spans="1:13" x14ac:dyDescent="0.25">
      <c r="A11" s="4"/>
      <c r="B11" s="4" t="s">
        <v>4</v>
      </c>
      <c r="C11" s="3" t="s">
        <v>41</v>
      </c>
      <c r="D11" s="4" t="s">
        <v>68</v>
      </c>
      <c r="E11" s="5" t="s">
        <v>24</v>
      </c>
      <c r="F11" s="45">
        <v>2</v>
      </c>
      <c r="G11" s="46">
        <v>0</v>
      </c>
      <c r="H11" s="45">
        <v>2</v>
      </c>
      <c r="I11" s="46">
        <v>0</v>
      </c>
      <c r="J11" s="45">
        <v>4</v>
      </c>
      <c r="K11" s="46">
        <v>3</v>
      </c>
      <c r="L11" s="45">
        <v>5</v>
      </c>
      <c r="M11" s="46">
        <v>4</v>
      </c>
    </row>
    <row r="12" spans="1:13" x14ac:dyDescent="0.25">
      <c r="A12" s="4"/>
      <c r="B12" s="4" t="s">
        <v>57</v>
      </c>
      <c r="C12" s="3" t="s">
        <v>58</v>
      </c>
      <c r="D12" s="4" t="s">
        <v>69</v>
      </c>
      <c r="E12" s="5" t="s">
        <v>34</v>
      </c>
      <c r="F12" s="45">
        <v>2</v>
      </c>
      <c r="G12" s="46">
        <v>2</v>
      </c>
      <c r="H12" s="45">
        <v>3</v>
      </c>
      <c r="I12" s="46">
        <v>3</v>
      </c>
      <c r="J12" s="45">
        <v>4</v>
      </c>
      <c r="K12" s="46">
        <v>3</v>
      </c>
      <c r="L12" s="45">
        <v>5</v>
      </c>
      <c r="M12" s="46">
        <v>4</v>
      </c>
    </row>
    <row r="13" spans="1:13" x14ac:dyDescent="0.25">
      <c r="A13" s="4"/>
      <c r="B13" s="4" t="s">
        <v>5</v>
      </c>
      <c r="C13" s="3" t="s">
        <v>59</v>
      </c>
      <c r="D13" s="4" t="s">
        <v>70</v>
      </c>
      <c r="E13" s="5" t="s">
        <v>24</v>
      </c>
      <c r="F13" s="45">
        <v>0</v>
      </c>
      <c r="G13" s="46">
        <v>0</v>
      </c>
      <c r="H13" s="45">
        <v>0</v>
      </c>
      <c r="I13" s="46">
        <v>0</v>
      </c>
      <c r="J13" s="45">
        <v>0</v>
      </c>
      <c r="K13" s="46">
        <v>0</v>
      </c>
      <c r="L13" s="45">
        <v>0</v>
      </c>
      <c r="M13" s="46">
        <v>0</v>
      </c>
    </row>
    <row r="14" spans="1:13" x14ac:dyDescent="0.25">
      <c r="A14" s="4"/>
      <c r="B14" s="4" t="s">
        <v>20</v>
      </c>
      <c r="C14" s="3" t="s">
        <v>42</v>
      </c>
      <c r="D14" s="4" t="s">
        <v>71</v>
      </c>
      <c r="E14" s="5" t="s">
        <v>24</v>
      </c>
      <c r="F14" s="45">
        <v>0</v>
      </c>
      <c r="G14" s="46">
        <v>0</v>
      </c>
      <c r="H14" s="45">
        <v>2</v>
      </c>
      <c r="I14" s="46">
        <v>2</v>
      </c>
      <c r="J14" s="45">
        <v>2</v>
      </c>
      <c r="K14" s="46">
        <v>2</v>
      </c>
      <c r="L14" s="45">
        <v>3</v>
      </c>
      <c r="M14" s="46">
        <v>3</v>
      </c>
    </row>
    <row r="15" spans="1:13" x14ac:dyDescent="0.25">
      <c r="A15" s="4"/>
      <c r="B15" s="4" t="s">
        <v>21</v>
      </c>
      <c r="C15" s="3" t="s">
        <v>21</v>
      </c>
      <c r="D15" s="4" t="s">
        <v>21</v>
      </c>
      <c r="E15" s="5" t="s">
        <v>36</v>
      </c>
      <c r="F15" s="47"/>
      <c r="G15" s="48"/>
      <c r="H15" s="47"/>
      <c r="I15" s="48"/>
      <c r="J15" s="47"/>
      <c r="K15" s="48"/>
      <c r="L15" s="47"/>
      <c r="M15" s="48"/>
    </row>
    <row r="16" spans="1:13" x14ac:dyDescent="0.25">
      <c r="A16" s="4"/>
      <c r="B16" s="4"/>
      <c r="D16" s="4"/>
      <c r="F16" s="39"/>
      <c r="G16" s="40"/>
      <c r="H16" s="39"/>
      <c r="I16" s="40"/>
      <c r="J16" s="39"/>
      <c r="K16" s="40"/>
      <c r="L16" s="39"/>
      <c r="M16" s="40"/>
    </row>
    <row r="17" spans="1:13" x14ac:dyDescent="0.25">
      <c r="A17" s="7" t="s">
        <v>6</v>
      </c>
      <c r="B17" s="7"/>
      <c r="C17" s="7"/>
      <c r="D17" s="7"/>
      <c r="E17" s="8"/>
      <c r="F17" s="41">
        <f t="shared" ref="F17:M17" si="2">SUM(F18:F25)</f>
        <v>60</v>
      </c>
      <c r="G17" s="42">
        <f t="shared" si="2"/>
        <v>42</v>
      </c>
      <c r="H17" s="41">
        <f t="shared" si="2"/>
        <v>45</v>
      </c>
      <c r="I17" s="42">
        <f t="shared" si="2"/>
        <v>38</v>
      </c>
      <c r="J17" s="41">
        <f t="shared" si="2"/>
        <v>30</v>
      </c>
      <c r="K17" s="42">
        <f t="shared" si="2"/>
        <v>21</v>
      </c>
      <c r="L17" s="41">
        <f t="shared" si="2"/>
        <v>12</v>
      </c>
      <c r="M17" s="42">
        <f t="shared" si="2"/>
        <v>12</v>
      </c>
    </row>
    <row r="18" spans="1:13" x14ac:dyDescent="0.25">
      <c r="A18" s="13"/>
      <c r="B18" s="13" t="s">
        <v>22</v>
      </c>
      <c r="C18" s="14" t="s">
        <v>43</v>
      </c>
      <c r="D18" s="13" t="s">
        <v>72</v>
      </c>
      <c r="E18" s="15" t="s">
        <v>24</v>
      </c>
      <c r="F18" s="49">
        <v>48</v>
      </c>
      <c r="G18" s="50">
        <v>32</v>
      </c>
      <c r="H18" s="49">
        <v>31</v>
      </c>
      <c r="I18" s="50">
        <v>25</v>
      </c>
      <c r="J18" s="49">
        <v>25</v>
      </c>
      <c r="K18" s="50">
        <v>16</v>
      </c>
      <c r="L18" s="49">
        <v>8</v>
      </c>
      <c r="M18" s="50">
        <v>8</v>
      </c>
    </row>
    <row r="19" spans="1:13" x14ac:dyDescent="0.25">
      <c r="A19" s="16"/>
      <c r="B19" s="16" t="s">
        <v>8</v>
      </c>
      <c r="C19" s="17" t="s">
        <v>44</v>
      </c>
      <c r="D19" s="16" t="s">
        <v>73</v>
      </c>
      <c r="E19" s="18" t="s">
        <v>24</v>
      </c>
      <c r="F19" s="45">
        <v>3</v>
      </c>
      <c r="G19" s="46">
        <v>0</v>
      </c>
      <c r="H19" s="45">
        <v>0</v>
      </c>
      <c r="I19" s="46">
        <v>0</v>
      </c>
      <c r="J19" s="45">
        <v>0</v>
      </c>
      <c r="K19" s="46">
        <v>0</v>
      </c>
      <c r="L19" s="45">
        <v>0</v>
      </c>
      <c r="M19" s="46">
        <v>0</v>
      </c>
    </row>
    <row r="20" spans="1:13" x14ac:dyDescent="0.25">
      <c r="A20" s="16"/>
      <c r="B20" s="16" t="s">
        <v>8</v>
      </c>
      <c r="C20" s="17" t="s">
        <v>45</v>
      </c>
      <c r="D20" s="16" t="s">
        <v>74</v>
      </c>
      <c r="E20" s="18" t="s">
        <v>24</v>
      </c>
      <c r="F20" s="45">
        <v>3</v>
      </c>
      <c r="G20" s="46">
        <v>0</v>
      </c>
      <c r="H20" s="45">
        <v>3</v>
      </c>
      <c r="I20" s="46"/>
      <c r="J20" s="45"/>
      <c r="K20" s="46">
        <v>0</v>
      </c>
      <c r="L20" s="45"/>
      <c r="M20" s="46">
        <v>0</v>
      </c>
    </row>
    <row r="21" spans="1:13" x14ac:dyDescent="0.25">
      <c r="A21" s="16"/>
      <c r="B21" s="16" t="s">
        <v>7</v>
      </c>
      <c r="C21" s="29" t="s">
        <v>40</v>
      </c>
      <c r="D21" s="16" t="s">
        <v>75</v>
      </c>
      <c r="E21" s="18" t="s">
        <v>24</v>
      </c>
      <c r="F21" s="45">
        <v>3</v>
      </c>
      <c r="G21" s="46">
        <v>5</v>
      </c>
      <c r="H21" s="45">
        <v>4</v>
      </c>
      <c r="I21" s="46">
        <v>5</v>
      </c>
      <c r="J21" s="45">
        <v>3</v>
      </c>
      <c r="K21" s="46">
        <v>3</v>
      </c>
      <c r="L21" s="45">
        <v>2</v>
      </c>
      <c r="M21" s="46">
        <v>2</v>
      </c>
    </row>
    <row r="22" spans="1:13" x14ac:dyDescent="0.25">
      <c r="A22" s="16"/>
      <c r="B22" s="16" t="s">
        <v>8</v>
      </c>
      <c r="C22" s="29" t="s">
        <v>62</v>
      </c>
      <c r="D22" s="16" t="s">
        <v>90</v>
      </c>
      <c r="E22" s="18" t="s">
        <v>36</v>
      </c>
      <c r="F22" s="45"/>
      <c r="G22" s="46"/>
      <c r="H22" s="45"/>
      <c r="I22" s="46"/>
      <c r="J22" s="45"/>
      <c r="K22" s="46"/>
      <c r="L22" s="45"/>
      <c r="M22" s="46"/>
    </row>
    <row r="23" spans="1:13" x14ac:dyDescent="0.25">
      <c r="A23" s="16"/>
      <c r="B23" s="16" t="s">
        <v>25</v>
      </c>
      <c r="C23" s="3" t="s">
        <v>54</v>
      </c>
      <c r="D23" s="4" t="s">
        <v>91</v>
      </c>
      <c r="E23" s="18" t="s">
        <v>36</v>
      </c>
      <c r="F23" s="45">
        <v>3</v>
      </c>
      <c r="G23" s="46">
        <v>5</v>
      </c>
      <c r="H23" s="45">
        <v>4</v>
      </c>
      <c r="I23" s="46">
        <v>5</v>
      </c>
      <c r="J23" s="45"/>
      <c r="K23" s="46"/>
      <c r="L23" s="45"/>
      <c r="M23" s="46"/>
    </row>
    <row r="24" spans="1:13" x14ac:dyDescent="0.25">
      <c r="A24" s="16"/>
      <c r="B24" s="16" t="s">
        <v>56</v>
      </c>
      <c r="C24" s="17" t="s">
        <v>65</v>
      </c>
      <c r="D24" s="16" t="s">
        <v>78</v>
      </c>
      <c r="E24" s="18" t="s">
        <v>24</v>
      </c>
      <c r="F24" s="45"/>
      <c r="G24" s="46"/>
      <c r="H24" s="45">
        <v>3</v>
      </c>
      <c r="I24" s="46">
        <v>3</v>
      </c>
      <c r="J24" s="45">
        <v>2</v>
      </c>
      <c r="K24" s="46">
        <v>2</v>
      </c>
      <c r="L24" s="45">
        <v>2</v>
      </c>
      <c r="M24" s="46">
        <v>2</v>
      </c>
    </row>
    <row r="25" spans="1:13" x14ac:dyDescent="0.25">
      <c r="A25" s="7"/>
      <c r="B25" s="7" t="s">
        <v>26</v>
      </c>
      <c r="C25" s="8" t="s">
        <v>26</v>
      </c>
      <c r="D25" s="7" t="s">
        <v>26</v>
      </c>
      <c r="E25" s="9" t="s">
        <v>36</v>
      </c>
      <c r="F25" s="47">
        <v>0</v>
      </c>
      <c r="G25" s="48">
        <v>0</v>
      </c>
      <c r="H25" s="47">
        <v>0</v>
      </c>
      <c r="I25" s="48"/>
      <c r="J25" s="47">
        <v>0</v>
      </c>
      <c r="K25" s="48"/>
      <c r="L25" s="47">
        <v>0</v>
      </c>
      <c r="M25" s="48"/>
    </row>
    <row r="26" spans="1:13" x14ac:dyDescent="0.25">
      <c r="A26" s="4"/>
      <c r="B26" s="4"/>
      <c r="D26" s="4"/>
      <c r="F26" s="39"/>
      <c r="G26" s="40"/>
      <c r="H26" s="39"/>
      <c r="I26" s="40"/>
      <c r="J26" s="39"/>
      <c r="K26" s="40"/>
      <c r="L26" s="39"/>
      <c r="M26" s="40"/>
    </row>
    <row r="27" spans="1:13" x14ac:dyDescent="0.25">
      <c r="A27" s="7" t="s">
        <v>9</v>
      </c>
      <c r="B27" s="7"/>
      <c r="C27" s="7"/>
      <c r="D27" s="7"/>
      <c r="E27" s="8"/>
      <c r="F27" s="41">
        <f t="shared" ref="F27:M27" si="3">SUM(F28:F35)</f>
        <v>10</v>
      </c>
      <c r="G27" s="42">
        <f t="shared" si="3"/>
        <v>13</v>
      </c>
      <c r="H27" s="41">
        <f t="shared" si="3"/>
        <v>20</v>
      </c>
      <c r="I27" s="42">
        <f t="shared" si="3"/>
        <v>21</v>
      </c>
      <c r="J27" s="41">
        <f t="shared" si="3"/>
        <v>17</v>
      </c>
      <c r="K27" s="42">
        <f t="shared" si="3"/>
        <v>23</v>
      </c>
      <c r="L27" s="41">
        <f t="shared" si="3"/>
        <v>15</v>
      </c>
      <c r="M27" s="42">
        <f t="shared" si="3"/>
        <v>21</v>
      </c>
    </row>
    <row r="28" spans="1:13" x14ac:dyDescent="0.25">
      <c r="A28" s="16"/>
      <c r="B28" s="16" t="s">
        <v>27</v>
      </c>
      <c r="C28" s="3" t="s">
        <v>116</v>
      </c>
      <c r="D28" s="16" t="s">
        <v>79</v>
      </c>
      <c r="E28" s="18" t="s">
        <v>24</v>
      </c>
      <c r="F28" s="45"/>
      <c r="G28" s="46"/>
      <c r="H28" s="45">
        <v>3</v>
      </c>
      <c r="I28" s="46">
        <v>3</v>
      </c>
      <c r="J28" s="45">
        <v>3</v>
      </c>
      <c r="K28" s="46">
        <v>3</v>
      </c>
      <c r="L28" s="45">
        <v>3</v>
      </c>
      <c r="M28" s="46">
        <v>3</v>
      </c>
    </row>
    <row r="29" spans="1:13" x14ac:dyDescent="0.25">
      <c r="A29" s="16"/>
      <c r="B29" s="16" t="s">
        <v>27</v>
      </c>
      <c r="C29" s="17" t="s">
        <v>47</v>
      </c>
      <c r="D29" s="19" t="s">
        <v>80</v>
      </c>
      <c r="E29" s="18" t="s">
        <v>24</v>
      </c>
      <c r="F29" s="45"/>
      <c r="G29" s="46"/>
      <c r="H29" s="45"/>
      <c r="I29" s="46"/>
      <c r="J29" s="45"/>
      <c r="K29" s="46"/>
      <c r="L29" s="45"/>
      <c r="M29" s="46"/>
    </row>
    <row r="30" spans="1:13" x14ac:dyDescent="0.25">
      <c r="A30" s="16"/>
      <c r="B30" s="16" t="s">
        <v>27</v>
      </c>
      <c r="C30" s="3" t="s">
        <v>166</v>
      </c>
      <c r="D30" s="19" t="s">
        <v>119</v>
      </c>
      <c r="E30" s="18" t="s">
        <v>24</v>
      </c>
      <c r="F30" s="45">
        <v>2</v>
      </c>
      <c r="G30" s="46">
        <v>4</v>
      </c>
      <c r="H30" s="45">
        <v>2</v>
      </c>
      <c r="I30" s="46">
        <v>3</v>
      </c>
      <c r="J30" s="45">
        <v>2</v>
      </c>
      <c r="K30" s="46">
        <v>3</v>
      </c>
      <c r="L30" s="45">
        <v>3</v>
      </c>
      <c r="M30" s="46">
        <v>3</v>
      </c>
    </row>
    <row r="31" spans="1:13" x14ac:dyDescent="0.25">
      <c r="A31" s="16"/>
      <c r="B31" s="16" t="s">
        <v>23</v>
      </c>
      <c r="C31" s="20" t="s">
        <v>48</v>
      </c>
      <c r="D31" s="19" t="s">
        <v>81</v>
      </c>
      <c r="E31" s="18" t="s">
        <v>24</v>
      </c>
      <c r="F31" s="45">
        <v>3</v>
      </c>
      <c r="G31" s="46">
        <v>4</v>
      </c>
      <c r="H31" s="45">
        <v>3</v>
      </c>
      <c r="I31" s="46">
        <v>3</v>
      </c>
      <c r="J31" s="45">
        <v>3</v>
      </c>
      <c r="K31" s="46">
        <v>3</v>
      </c>
      <c r="L31" s="45"/>
      <c r="M31" s="46"/>
    </row>
    <row r="32" spans="1:13" x14ac:dyDescent="0.25">
      <c r="A32" s="16"/>
      <c r="B32" s="16" t="s">
        <v>10</v>
      </c>
      <c r="C32" s="20" t="s">
        <v>53</v>
      </c>
      <c r="D32" s="19" t="s">
        <v>88</v>
      </c>
      <c r="E32" s="18" t="s">
        <v>24</v>
      </c>
      <c r="F32" s="45"/>
      <c r="G32" s="46"/>
      <c r="H32" s="45">
        <v>3</v>
      </c>
      <c r="I32" s="46">
        <v>3</v>
      </c>
      <c r="J32" s="45">
        <v>4</v>
      </c>
      <c r="K32" s="46">
        <v>4</v>
      </c>
      <c r="L32" s="45">
        <v>4</v>
      </c>
      <c r="M32" s="46">
        <v>5</v>
      </c>
    </row>
    <row r="33" spans="1:13" x14ac:dyDescent="0.25">
      <c r="A33" s="16"/>
      <c r="B33" s="16" t="s">
        <v>10</v>
      </c>
      <c r="C33" s="20" t="s">
        <v>50</v>
      </c>
      <c r="D33" s="19" t="s">
        <v>83</v>
      </c>
      <c r="E33" s="18" t="s">
        <v>24</v>
      </c>
      <c r="F33" s="45"/>
      <c r="G33" s="46"/>
      <c r="H33" s="45">
        <v>4</v>
      </c>
      <c r="I33" s="46">
        <v>4</v>
      </c>
      <c r="J33" s="45">
        <v>5</v>
      </c>
      <c r="K33" s="46">
        <v>5</v>
      </c>
      <c r="L33" s="45">
        <v>5</v>
      </c>
      <c r="M33" s="46">
        <v>5</v>
      </c>
    </row>
    <row r="34" spans="1:13" x14ac:dyDescent="0.25">
      <c r="A34" s="16"/>
      <c r="B34" s="16" t="s">
        <v>28</v>
      </c>
      <c r="C34" s="20" t="s">
        <v>55</v>
      </c>
      <c r="D34" s="16" t="s">
        <v>169</v>
      </c>
      <c r="E34" s="18" t="s">
        <v>36</v>
      </c>
      <c r="F34" s="45">
        <v>5</v>
      </c>
      <c r="G34" s="46">
        <v>5</v>
      </c>
      <c r="H34" s="45">
        <v>5</v>
      </c>
      <c r="I34" s="46">
        <v>5</v>
      </c>
      <c r="J34" s="45"/>
      <c r="K34" s="46">
        <v>5</v>
      </c>
      <c r="L34" s="45"/>
      <c r="M34" s="46">
        <v>5</v>
      </c>
    </row>
    <row r="35" spans="1:13" x14ac:dyDescent="0.25">
      <c r="A35" s="7"/>
      <c r="B35" s="21" t="s">
        <v>29</v>
      </c>
      <c r="C35" s="22" t="s">
        <v>29</v>
      </c>
      <c r="D35" s="9" t="s">
        <v>29</v>
      </c>
      <c r="E35" s="9" t="s">
        <v>36</v>
      </c>
      <c r="F35" s="47">
        <v>0</v>
      </c>
      <c r="G35" s="48"/>
      <c r="H35" s="47">
        <v>0</v>
      </c>
      <c r="I35" s="48"/>
      <c r="J35" s="47"/>
      <c r="K35" s="48"/>
      <c r="L35" s="47">
        <v>0</v>
      </c>
      <c r="M35" s="48"/>
    </row>
    <row r="36" spans="1:13" x14ac:dyDescent="0.25">
      <c r="A36" s="4"/>
      <c r="B36" s="4"/>
      <c r="D36" s="4"/>
      <c r="F36" s="39"/>
      <c r="G36" s="40"/>
      <c r="H36" s="39"/>
      <c r="I36" s="40"/>
      <c r="J36" s="39"/>
      <c r="K36" s="40"/>
      <c r="L36" s="39"/>
      <c r="M36" s="40"/>
    </row>
    <row r="37" spans="1:13" x14ac:dyDescent="0.25">
      <c r="A37" s="4" t="s">
        <v>31</v>
      </c>
      <c r="B37" s="4"/>
      <c r="D37" s="4"/>
      <c r="F37" s="39"/>
      <c r="G37" s="40"/>
      <c r="H37" s="39"/>
      <c r="I37" s="40"/>
      <c r="J37" s="39"/>
      <c r="K37" s="40"/>
      <c r="L37" s="39"/>
      <c r="M37" s="40"/>
    </row>
    <row r="38" spans="1:13" ht="15" customHeight="1" x14ac:dyDescent="0.25">
      <c r="A38" s="10"/>
      <c r="B38" s="11" t="s">
        <v>92</v>
      </c>
      <c r="C38" s="30" t="s">
        <v>115</v>
      </c>
      <c r="D38" s="11" t="s">
        <v>111</v>
      </c>
      <c r="E38" s="12" t="s">
        <v>24</v>
      </c>
      <c r="F38" s="63"/>
      <c r="G38" s="44"/>
      <c r="H38" s="63"/>
      <c r="I38" s="44"/>
      <c r="J38" s="63"/>
      <c r="K38" s="44"/>
      <c r="L38" s="63"/>
      <c r="M38" s="44"/>
    </row>
    <row r="39" spans="1:13" ht="15.75" thickBot="1" x14ac:dyDescent="0.3">
      <c r="B39" s="4"/>
      <c r="C39" s="2"/>
      <c r="D39" s="4"/>
      <c r="E39" s="5"/>
      <c r="F39" s="62"/>
      <c r="G39" s="40"/>
      <c r="H39" s="62"/>
      <c r="I39" s="40"/>
      <c r="J39" s="62"/>
      <c r="K39" s="40"/>
      <c r="L39" s="62"/>
      <c r="M39" s="40"/>
    </row>
    <row r="40" spans="1:13" x14ac:dyDescent="0.25">
      <c r="D40" s="4"/>
      <c r="F40" s="75"/>
      <c r="G40" s="74"/>
      <c r="H40" s="75"/>
      <c r="I40" s="74"/>
      <c r="J40" s="75"/>
      <c r="K40" s="74"/>
      <c r="L40" s="75"/>
      <c r="M40" s="74"/>
    </row>
    <row r="41" spans="1:13" x14ac:dyDescent="0.25">
      <c r="D41" s="4" t="s">
        <v>30</v>
      </c>
      <c r="F41" s="79">
        <f t="shared" ref="F41:M41" si="4">+F27+F17+F8+F5</f>
        <v>100</v>
      </c>
      <c r="G41" s="78">
        <f t="shared" si="4"/>
        <v>100</v>
      </c>
      <c r="H41" s="79">
        <f t="shared" si="4"/>
        <v>99</v>
      </c>
      <c r="I41" s="78">
        <f t="shared" si="4"/>
        <v>100</v>
      </c>
      <c r="J41" s="79">
        <f t="shared" si="4"/>
        <v>99</v>
      </c>
      <c r="K41" s="78">
        <f t="shared" si="4"/>
        <v>99</v>
      </c>
      <c r="L41" s="79">
        <f t="shared" si="4"/>
        <v>99</v>
      </c>
      <c r="M41" s="78">
        <f t="shared" si="4"/>
        <v>99</v>
      </c>
    </row>
    <row r="42" spans="1:13" ht="15.75" thickBot="1" x14ac:dyDescent="0.3">
      <c r="D42" s="4" t="s">
        <v>32</v>
      </c>
      <c r="F42" s="83">
        <f t="shared" ref="F42:M42" si="5">SUMIF($E$5:$E$38,"&lt;&gt;GBP",F5:F38)-100</f>
        <v>82</v>
      </c>
      <c r="G42" s="82">
        <f t="shared" si="5"/>
        <v>60</v>
      </c>
      <c r="H42" s="83">
        <f t="shared" si="5"/>
        <v>84</v>
      </c>
      <c r="I42" s="82">
        <f t="shared" si="5"/>
        <v>70</v>
      </c>
      <c r="J42" s="83">
        <f t="shared" si="5"/>
        <v>96</v>
      </c>
      <c r="K42" s="82">
        <f t="shared" si="5"/>
        <v>78</v>
      </c>
      <c r="L42" s="83">
        <f t="shared" si="5"/>
        <v>96</v>
      </c>
      <c r="M42" s="82">
        <f t="shared" si="5"/>
        <v>83</v>
      </c>
    </row>
    <row r="43" spans="1:13" x14ac:dyDescent="0.25">
      <c r="D43" s="4"/>
      <c r="F43" s="57"/>
      <c r="G43" s="57"/>
    </row>
    <row r="47" spans="1:13" x14ac:dyDescent="0.25">
      <c r="F47" s="59">
        <v>-77</v>
      </c>
      <c r="G47" s="59">
        <v>-68</v>
      </c>
      <c r="H47" s="59">
        <v>-80</v>
      </c>
      <c r="I47" s="59">
        <v>-71</v>
      </c>
      <c r="J47" s="59">
        <v>-83</v>
      </c>
      <c r="K47" s="59">
        <v>-75</v>
      </c>
      <c r="L47" s="59">
        <v>-83</v>
      </c>
      <c r="M47" s="59">
        <v>-75</v>
      </c>
    </row>
  </sheetData>
  <mergeCells count="5">
    <mergeCell ref="F1:M1"/>
    <mergeCell ref="F2:G2"/>
    <mergeCell ref="H2:I2"/>
    <mergeCell ref="J2:K2"/>
    <mergeCell ref="L2:M2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R229"/>
  <sheetViews>
    <sheetView topLeftCell="A19" workbookViewId="0">
      <selection activeCell="O6" sqref="O6:O56"/>
    </sheetView>
  </sheetViews>
  <sheetFormatPr defaultColWidth="10.42578125" defaultRowHeight="15" outlineLevelRow="1" x14ac:dyDescent="0.25"/>
  <cols>
    <col min="1" max="1" width="16.85546875" style="3" bestFit="1" customWidth="1"/>
    <col min="2" max="2" width="18.5703125" style="3" customWidth="1"/>
    <col min="3" max="3" width="36" style="3" customWidth="1"/>
    <col min="4" max="4" width="6.28515625" style="3" bestFit="1" customWidth="1"/>
    <col min="5" max="21" width="10.42578125" style="31" customWidth="1"/>
    <col min="22" max="60" width="10.42578125" style="3" customWidth="1"/>
    <col min="61" max="61" width="9.42578125" style="3" customWidth="1"/>
    <col min="62" max="63" width="9" style="3" customWidth="1"/>
    <col min="64" max="64" width="11.28515625" style="3" customWidth="1"/>
    <col min="65" max="16384" width="10.42578125" style="3"/>
  </cols>
  <sheetData>
    <row r="1" spans="1:70" x14ac:dyDescent="0.25">
      <c r="A1" s="33" t="s">
        <v>101</v>
      </c>
      <c r="B1" s="3" t="s">
        <v>24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</row>
    <row r="2" spans="1:70" x14ac:dyDescent="0.25">
      <c r="A2" s="33" t="s">
        <v>100</v>
      </c>
      <c r="B2" s="3" t="s">
        <v>14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</row>
    <row r="3" spans="1:70" x14ac:dyDescent="0.25">
      <c r="A3" s="33" t="s">
        <v>103</v>
      </c>
      <c r="B3" s="3" t="s">
        <v>99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</row>
    <row r="4" spans="1:70" x14ac:dyDescent="0.2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</row>
    <row r="5" spans="1:70" s="34" customFormat="1" x14ac:dyDescent="0.25">
      <c r="A5" s="33" t="s">
        <v>102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</row>
    <row r="6" spans="1:70" s="34" customFormat="1" ht="60" x14ac:dyDescent="0.25">
      <c r="A6"/>
      <c r="B6"/>
      <c r="C6"/>
      <c r="D6"/>
      <c r="E6" s="34" t="s">
        <v>120</v>
      </c>
      <c r="F6" s="34" t="s">
        <v>121</v>
      </c>
      <c r="G6" s="34" t="s">
        <v>122</v>
      </c>
      <c r="H6" s="34" t="s">
        <v>123</v>
      </c>
      <c r="I6" s="34" t="s">
        <v>124</v>
      </c>
      <c r="J6" s="3" t="s">
        <v>125</v>
      </c>
      <c r="K6" s="3" t="s">
        <v>126</v>
      </c>
      <c r="L6" s="3" t="s">
        <v>127</v>
      </c>
      <c r="M6" s="3" t="s">
        <v>128</v>
      </c>
      <c r="N6" s="3" t="s">
        <v>129</v>
      </c>
      <c r="O6" s="3" t="s">
        <v>130</v>
      </c>
      <c r="P6" s="3" t="s">
        <v>131</v>
      </c>
      <c r="Q6" s="3" t="s">
        <v>132</v>
      </c>
      <c r="R6" s="3" t="s">
        <v>133</v>
      </c>
      <c r="S6" s="3" t="s">
        <v>134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</row>
    <row r="7" spans="1:70" x14ac:dyDescent="0.25">
      <c r="A7"/>
      <c r="B7"/>
      <c r="C7"/>
      <c r="D7"/>
      <c r="E7" s="3" t="s">
        <v>120</v>
      </c>
      <c r="F7" s="3" t="s">
        <v>121</v>
      </c>
      <c r="G7" s="3" t="s">
        <v>135</v>
      </c>
      <c r="H7" s="3" t="s">
        <v>136</v>
      </c>
      <c r="I7" s="3" t="s">
        <v>137</v>
      </c>
      <c r="J7" s="3" t="s">
        <v>138</v>
      </c>
      <c r="K7" s="3" t="s">
        <v>139</v>
      </c>
      <c r="L7" s="3" t="s">
        <v>140</v>
      </c>
      <c r="M7" s="3" t="s">
        <v>141</v>
      </c>
      <c r="N7" s="3" t="s">
        <v>142</v>
      </c>
      <c r="O7" s="3" t="s">
        <v>143</v>
      </c>
      <c r="P7" s="3" t="s">
        <v>144</v>
      </c>
      <c r="Q7" s="3" t="s">
        <v>141</v>
      </c>
      <c r="R7" s="3" t="s">
        <v>141</v>
      </c>
      <c r="S7" s="3" t="s">
        <v>140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</row>
    <row r="8" spans="1:70" x14ac:dyDescent="0.25">
      <c r="A8" s="3" t="s">
        <v>1</v>
      </c>
      <c r="B8" s="3" t="s">
        <v>1</v>
      </c>
      <c r="C8" s="3" t="s">
        <v>1</v>
      </c>
      <c r="D8" s="3" t="s">
        <v>24</v>
      </c>
      <c r="E8" s="32">
        <v>5</v>
      </c>
      <c r="F8" s="32">
        <v>20</v>
      </c>
      <c r="G8" s="32">
        <v>21.207100000000001</v>
      </c>
      <c r="H8" s="32">
        <v>47.466799999999999</v>
      </c>
      <c r="I8" s="32">
        <v>19.412800000000001</v>
      </c>
      <c r="J8" s="32">
        <v>4.01</v>
      </c>
      <c r="K8" s="32">
        <v>7.45</v>
      </c>
      <c r="L8" s="32">
        <v>26.4895</v>
      </c>
      <c r="M8" s="32">
        <v>19.920500000000001</v>
      </c>
      <c r="N8" s="32">
        <v>28.078499999999998</v>
      </c>
      <c r="O8" s="32">
        <v>14.949</v>
      </c>
      <c r="P8" s="32">
        <v>29.935199999999998</v>
      </c>
      <c r="Q8" s="32">
        <v>6.3597000000000001</v>
      </c>
      <c r="R8" s="32">
        <v>3.8565999999999998</v>
      </c>
      <c r="S8" s="32">
        <v>45.200400000000002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</row>
    <row r="9" spans="1:70" x14ac:dyDescent="0.25">
      <c r="A9" s="3" t="s">
        <v>98</v>
      </c>
      <c r="E9" s="32">
        <v>5</v>
      </c>
      <c r="F9" s="32">
        <v>20</v>
      </c>
      <c r="G9" s="32">
        <v>21.207100000000001</v>
      </c>
      <c r="H9" s="32">
        <v>47.466799999999999</v>
      </c>
      <c r="I9" s="32">
        <v>19.412800000000001</v>
      </c>
      <c r="J9" s="32">
        <v>4.01</v>
      </c>
      <c r="K9" s="32">
        <v>7.45</v>
      </c>
      <c r="L9" s="32">
        <v>26.4895</v>
      </c>
      <c r="M9" s="32">
        <v>19.920500000000001</v>
      </c>
      <c r="N9" s="32">
        <v>28.078499999999998</v>
      </c>
      <c r="O9" s="32">
        <v>14.949</v>
      </c>
      <c r="P9" s="32">
        <v>29.935199999999998</v>
      </c>
      <c r="Q9" s="32">
        <v>6.3597000000000001</v>
      </c>
      <c r="R9" s="32">
        <v>3.8565999999999998</v>
      </c>
      <c r="S9" s="32">
        <v>45.200400000000002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</row>
    <row r="10" spans="1:70" outlineLevel="1" x14ac:dyDescent="0.25">
      <c r="A10" s="3" t="s">
        <v>6</v>
      </c>
      <c r="B10" s="3" t="s">
        <v>22</v>
      </c>
      <c r="C10" s="3" t="s">
        <v>72</v>
      </c>
      <c r="D10" s="3" t="s">
        <v>24</v>
      </c>
      <c r="E10" s="32">
        <v>31</v>
      </c>
      <c r="F10" s="32">
        <v>25</v>
      </c>
      <c r="G10" s="32">
        <v>15.8284</v>
      </c>
      <c r="H10" s="32">
        <v>22.2607</v>
      </c>
      <c r="I10" s="32"/>
      <c r="J10" s="32">
        <v>1.28</v>
      </c>
      <c r="K10" s="32">
        <v>4.09</v>
      </c>
      <c r="L10" s="32">
        <v>29.002300000000002</v>
      </c>
      <c r="M10" s="32">
        <v>42.311599999999999</v>
      </c>
      <c r="N10" s="32">
        <v>19.3705</v>
      </c>
      <c r="O10" s="32">
        <v>27.582000000000001</v>
      </c>
      <c r="P10" s="32">
        <v>22.264800000000001</v>
      </c>
      <c r="Q10" s="32">
        <v>13.757</v>
      </c>
      <c r="R10" s="32">
        <v>37.390799999999999</v>
      </c>
      <c r="S10" s="32">
        <v>28.750699999999998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</row>
    <row r="11" spans="1:70" outlineLevel="1" x14ac:dyDescent="0.25">
      <c r="A11"/>
      <c r="B11" s="3" t="s">
        <v>8</v>
      </c>
      <c r="C11" s="3" t="s">
        <v>74</v>
      </c>
      <c r="D11" s="3" t="s">
        <v>24</v>
      </c>
      <c r="E11" s="32">
        <v>3</v>
      </c>
      <c r="F11" s="32">
        <v>0</v>
      </c>
      <c r="G11" s="32">
        <v>3.1608999999999998</v>
      </c>
      <c r="H11" s="32"/>
      <c r="I11" s="32"/>
      <c r="J11" s="32"/>
      <c r="K11" s="32">
        <v>0.49</v>
      </c>
      <c r="L11" s="32"/>
      <c r="M11" s="32"/>
      <c r="N11" s="32">
        <v>2.8744999999999998</v>
      </c>
      <c r="O11" s="32">
        <v>3.9262000000000001</v>
      </c>
      <c r="P11" s="32">
        <v>3.1048</v>
      </c>
      <c r="Q11" s="32"/>
      <c r="R11" s="32"/>
      <c r="S11" s="32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</row>
    <row r="12" spans="1:70" outlineLevel="1" x14ac:dyDescent="0.25">
      <c r="A12"/>
      <c r="B12"/>
      <c r="C12" s="3" t="s">
        <v>73</v>
      </c>
      <c r="D12" s="3" t="s">
        <v>24</v>
      </c>
      <c r="E12" s="32">
        <v>0</v>
      </c>
      <c r="F12" s="32">
        <v>0</v>
      </c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</row>
    <row r="13" spans="1:70" outlineLevel="1" x14ac:dyDescent="0.25">
      <c r="A13"/>
      <c r="B13"/>
      <c r="C13" s="3" t="s">
        <v>76</v>
      </c>
      <c r="D13" s="3" t="s">
        <v>24</v>
      </c>
      <c r="E13" s="32">
        <v>0</v>
      </c>
      <c r="F13" s="32">
        <v>0</v>
      </c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</row>
    <row r="14" spans="1:70" outlineLevel="1" x14ac:dyDescent="0.25">
      <c r="A14"/>
      <c r="B14" s="3" t="s">
        <v>25</v>
      </c>
      <c r="C14" s="3" t="s">
        <v>77</v>
      </c>
      <c r="D14" s="3" t="s">
        <v>24</v>
      </c>
      <c r="E14" s="32">
        <v>4</v>
      </c>
      <c r="F14" s="32">
        <v>5</v>
      </c>
      <c r="G14" s="32">
        <v>6.0846</v>
      </c>
      <c r="H14" s="32"/>
      <c r="I14" s="32"/>
      <c r="J14" s="32">
        <v>0.51</v>
      </c>
      <c r="K14" s="32">
        <v>0.69</v>
      </c>
      <c r="L14" s="32"/>
      <c r="M14" s="32"/>
      <c r="N14" s="32">
        <v>4.1081000000000003</v>
      </c>
      <c r="O14" s="32">
        <v>8.5922000000000001</v>
      </c>
      <c r="P14" s="32"/>
      <c r="Q14" s="32"/>
      <c r="R14" s="32"/>
      <c r="S14" s="32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</row>
    <row r="15" spans="1:70" outlineLevel="1" x14ac:dyDescent="0.25">
      <c r="A15"/>
      <c r="B15" s="3" t="s">
        <v>7</v>
      </c>
      <c r="C15" s="3" t="s">
        <v>75</v>
      </c>
      <c r="D15" s="3" t="s">
        <v>24</v>
      </c>
      <c r="E15" s="32">
        <v>4</v>
      </c>
      <c r="F15" s="32">
        <v>5</v>
      </c>
      <c r="G15" s="32">
        <v>7.2179000000000002</v>
      </c>
      <c r="H15" s="32">
        <v>23.224499999999999</v>
      </c>
      <c r="I15" s="32"/>
      <c r="J15" s="32">
        <v>0.55000000000000004</v>
      </c>
      <c r="K15" s="32">
        <v>0.55000000000000004</v>
      </c>
      <c r="L15" s="32"/>
      <c r="M15" s="32"/>
      <c r="N15" s="32">
        <v>5.3556999999999997</v>
      </c>
      <c r="O15" s="32">
        <v>5.9741</v>
      </c>
      <c r="P15" s="32">
        <v>6.0567000000000002</v>
      </c>
      <c r="Q15" s="32"/>
      <c r="R15" s="32"/>
      <c r="S15" s="32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</row>
    <row r="16" spans="1:70" outlineLevel="1" x14ac:dyDescent="0.25">
      <c r="A16"/>
      <c r="B16" s="3" t="s">
        <v>56</v>
      </c>
      <c r="C16" s="3" t="s">
        <v>78</v>
      </c>
      <c r="D16" s="3" t="s">
        <v>24</v>
      </c>
      <c r="E16" s="32">
        <v>3</v>
      </c>
      <c r="F16" s="32">
        <v>3</v>
      </c>
      <c r="G16" s="32">
        <v>2.9481999999999999</v>
      </c>
      <c r="H16" s="32"/>
      <c r="I16" s="32"/>
      <c r="J16" s="32">
        <v>0.34</v>
      </c>
      <c r="K16" s="32">
        <v>0.48</v>
      </c>
      <c r="L16" s="32"/>
      <c r="M16" s="32"/>
      <c r="N16" s="32">
        <v>2.9771000000000001</v>
      </c>
      <c r="O16" s="32">
        <v>3.6899000000000002</v>
      </c>
      <c r="P16" s="32">
        <v>2.9649999999999999</v>
      </c>
      <c r="Q16" s="32"/>
      <c r="R16" s="32"/>
      <c r="S16" s="32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</row>
    <row r="17" spans="1:70" outlineLevel="1" x14ac:dyDescent="0.25">
      <c r="A17"/>
      <c r="B17" s="3" t="s">
        <v>26</v>
      </c>
      <c r="C17" s="3" t="s">
        <v>145</v>
      </c>
      <c r="D17" s="3" t="s">
        <v>24</v>
      </c>
      <c r="E17" s="32"/>
      <c r="F17" s="32"/>
      <c r="G17" s="32">
        <v>1.1900000000000001E-2</v>
      </c>
      <c r="H17" s="32"/>
      <c r="I17" s="32"/>
      <c r="J17" s="32"/>
      <c r="K17" s="32">
        <v>0.1</v>
      </c>
      <c r="L17" s="32"/>
      <c r="M17" s="32"/>
      <c r="N17" s="32"/>
      <c r="O17" s="32"/>
      <c r="P17" s="32"/>
      <c r="Q17" s="32"/>
      <c r="R17" s="32"/>
      <c r="S17" s="32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</row>
    <row r="18" spans="1:70" outlineLevel="1" x14ac:dyDescent="0.25">
      <c r="A18"/>
      <c r="B18"/>
      <c r="C18" s="3" t="s">
        <v>146</v>
      </c>
      <c r="D18" s="3" t="s">
        <v>34</v>
      </c>
      <c r="E18" s="32"/>
      <c r="F18" s="32"/>
      <c r="G18" s="32">
        <v>1.0912999999999999</v>
      </c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</row>
    <row r="19" spans="1:70" outlineLevel="1" x14ac:dyDescent="0.25">
      <c r="A19"/>
      <c r="B19"/>
      <c r="C19" s="3" t="s">
        <v>147</v>
      </c>
      <c r="D19" s="3" t="s">
        <v>34</v>
      </c>
      <c r="E19" s="32"/>
      <c r="F19" s="32"/>
      <c r="G19" s="32">
        <v>1.6449</v>
      </c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</row>
    <row r="20" spans="1:70" outlineLevel="1" x14ac:dyDescent="0.25">
      <c r="A20"/>
      <c r="B20"/>
      <c r="C20" s="3" t="s">
        <v>148</v>
      </c>
      <c r="D20" s="3" t="s">
        <v>34</v>
      </c>
      <c r="E20" s="32"/>
      <c r="F20" s="32"/>
      <c r="G20" s="32">
        <v>2.1564000000000001</v>
      </c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</row>
    <row r="21" spans="1:70" outlineLevel="1" x14ac:dyDescent="0.25">
      <c r="A21"/>
      <c r="B21"/>
      <c r="C21" s="3" t="s">
        <v>26</v>
      </c>
      <c r="D21" s="3" t="s">
        <v>24</v>
      </c>
      <c r="E21" s="32">
        <v>0</v>
      </c>
      <c r="F21" s="32">
        <v>0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</row>
    <row r="22" spans="1:70" outlineLevel="1" x14ac:dyDescent="0.25">
      <c r="A22"/>
      <c r="B22"/>
      <c r="C22" s="3" t="s">
        <v>149</v>
      </c>
      <c r="D22" s="3" t="s">
        <v>34</v>
      </c>
      <c r="E22" s="32"/>
      <c r="F22" s="32"/>
      <c r="G22" s="32">
        <v>2.1772</v>
      </c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</row>
    <row r="23" spans="1:70" x14ac:dyDescent="0.25">
      <c r="A23" s="3" t="s">
        <v>97</v>
      </c>
      <c r="E23" s="32">
        <v>45</v>
      </c>
      <c r="F23" s="32">
        <v>38</v>
      </c>
      <c r="G23" s="32">
        <v>42.321699999999993</v>
      </c>
      <c r="H23" s="32">
        <v>45.485199999999999</v>
      </c>
      <c r="I23" s="32"/>
      <c r="J23" s="32">
        <v>2.6799999999999997</v>
      </c>
      <c r="K23" s="32">
        <v>6.3999999999999986</v>
      </c>
      <c r="L23" s="32">
        <v>29.002300000000002</v>
      </c>
      <c r="M23" s="32">
        <v>42.311599999999999</v>
      </c>
      <c r="N23" s="32">
        <v>34.685900000000004</v>
      </c>
      <c r="O23" s="32">
        <v>49.764400000000002</v>
      </c>
      <c r="P23" s="32">
        <v>34.391300000000001</v>
      </c>
      <c r="Q23" s="32">
        <v>13.757</v>
      </c>
      <c r="R23" s="32">
        <v>37.390799999999999</v>
      </c>
      <c r="S23" s="32">
        <v>28.750699999999998</v>
      </c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</row>
    <row r="24" spans="1:70" outlineLevel="1" x14ac:dyDescent="0.25">
      <c r="A24" s="3" t="s">
        <v>2</v>
      </c>
      <c r="B24" s="3" t="s">
        <v>19</v>
      </c>
      <c r="C24" s="3" t="s">
        <v>66</v>
      </c>
      <c r="D24" s="3" t="s">
        <v>24</v>
      </c>
      <c r="E24" s="32">
        <v>22</v>
      </c>
      <c r="F24" s="32">
        <v>16</v>
      </c>
      <c r="G24" s="32">
        <v>15.040800000000001</v>
      </c>
      <c r="H24" s="32"/>
      <c r="I24" s="32"/>
      <c r="J24" s="32">
        <v>0.87</v>
      </c>
      <c r="K24" s="32">
        <v>2.79</v>
      </c>
      <c r="L24" s="32">
        <v>25.466699999999999</v>
      </c>
      <c r="M24" s="32">
        <v>22.445</v>
      </c>
      <c r="N24" s="32">
        <v>21.185600000000001</v>
      </c>
      <c r="O24" s="32">
        <v>21.755400000000002</v>
      </c>
      <c r="P24" s="32">
        <v>20.948699999999999</v>
      </c>
      <c r="Q24" s="32"/>
      <c r="R24" s="32">
        <v>5.2613000000000003</v>
      </c>
      <c r="S24" s="32">
        <v>25.383700000000001</v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</row>
    <row r="25" spans="1:70" outlineLevel="1" x14ac:dyDescent="0.25">
      <c r="A25"/>
      <c r="B25" s="3" t="s">
        <v>150</v>
      </c>
      <c r="C25" s="3" t="s">
        <v>151</v>
      </c>
      <c r="D25" s="3" t="s">
        <v>34</v>
      </c>
      <c r="E25" s="32"/>
      <c r="F25" s="32"/>
      <c r="G25" s="32"/>
      <c r="H25" s="32">
        <v>2.2774000000000001</v>
      </c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</row>
    <row r="26" spans="1:70" outlineLevel="1" x14ac:dyDescent="0.25">
      <c r="A26"/>
      <c r="B26" s="3" t="s">
        <v>3</v>
      </c>
      <c r="C26" s="3" t="s">
        <v>67</v>
      </c>
      <c r="D26" s="3" t="s">
        <v>24</v>
      </c>
      <c r="E26" s="32">
        <v>0</v>
      </c>
      <c r="F26" s="32">
        <v>0</v>
      </c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</row>
    <row r="27" spans="1:70" outlineLevel="1" x14ac:dyDescent="0.25">
      <c r="A27"/>
      <c r="B27"/>
      <c r="C27" s="3" t="s">
        <v>152</v>
      </c>
      <c r="D27" s="3" t="s">
        <v>24</v>
      </c>
      <c r="E27" s="32"/>
      <c r="F27" s="32"/>
      <c r="G27" s="32"/>
      <c r="H27" s="32">
        <v>4.7706</v>
      </c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</row>
    <row r="28" spans="1:70" outlineLevel="1" x14ac:dyDescent="0.25">
      <c r="A28"/>
      <c r="B28" s="3" t="s">
        <v>4</v>
      </c>
      <c r="C28" s="3" t="s">
        <v>153</v>
      </c>
      <c r="D28" s="3" t="s">
        <v>24</v>
      </c>
      <c r="E28" s="32"/>
      <c r="F28" s="32"/>
      <c r="G28" s="32">
        <v>0.72719999999999996</v>
      </c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</row>
    <row r="29" spans="1:70" outlineLevel="1" x14ac:dyDescent="0.25">
      <c r="A29"/>
      <c r="B29"/>
      <c r="C29" s="3" t="s">
        <v>68</v>
      </c>
      <c r="D29" s="3" t="s">
        <v>24</v>
      </c>
      <c r="E29" s="32">
        <v>2</v>
      </c>
      <c r="F29" s="32">
        <v>0</v>
      </c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</row>
    <row r="30" spans="1:70" outlineLevel="1" x14ac:dyDescent="0.25">
      <c r="A30"/>
      <c r="B30" s="3" t="s">
        <v>5</v>
      </c>
      <c r="C30" s="3" t="s">
        <v>70</v>
      </c>
      <c r="D30" s="3" t="s">
        <v>24</v>
      </c>
      <c r="E30" s="32">
        <v>0</v>
      </c>
      <c r="F30" s="32">
        <v>0</v>
      </c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</row>
    <row r="31" spans="1:70" outlineLevel="1" x14ac:dyDescent="0.25">
      <c r="A31"/>
      <c r="B31"/>
      <c r="C31" s="3" t="s">
        <v>154</v>
      </c>
      <c r="D31" s="3" t="s">
        <v>36</v>
      </c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>
        <v>0.79330000000000001</v>
      </c>
      <c r="P31" s="32"/>
      <c r="Q31" s="32"/>
      <c r="R31" s="32"/>
      <c r="S31" s="32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</row>
    <row r="32" spans="1:70" outlineLevel="1" x14ac:dyDescent="0.25">
      <c r="A32"/>
      <c r="B32" s="3" t="s">
        <v>57</v>
      </c>
      <c r="C32" s="3" t="s">
        <v>69</v>
      </c>
      <c r="D32" s="3" t="s">
        <v>34</v>
      </c>
      <c r="E32" s="32">
        <v>3</v>
      </c>
      <c r="F32" s="32">
        <v>3</v>
      </c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</row>
    <row r="33" spans="1:70" outlineLevel="1" x14ac:dyDescent="0.25">
      <c r="A33"/>
      <c r="B33" s="3" t="s">
        <v>20</v>
      </c>
      <c r="C33" s="3" t="s">
        <v>71</v>
      </c>
      <c r="D33" s="3" t="s">
        <v>24</v>
      </c>
      <c r="E33" s="32">
        <v>2</v>
      </c>
      <c r="F33" s="32">
        <v>2</v>
      </c>
      <c r="G33" s="32">
        <v>1.9073</v>
      </c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</row>
    <row r="34" spans="1:70" outlineLevel="1" x14ac:dyDescent="0.25">
      <c r="A34"/>
      <c r="B34" s="3" t="s">
        <v>21</v>
      </c>
      <c r="C34"/>
      <c r="D34"/>
      <c r="E34" s="32">
        <v>0</v>
      </c>
      <c r="F34" s="32">
        <v>0</v>
      </c>
      <c r="G34" s="32"/>
      <c r="H34" s="32"/>
      <c r="I34" s="32"/>
      <c r="J34" s="32">
        <v>2.44</v>
      </c>
      <c r="K34" s="32"/>
      <c r="L34" s="32">
        <v>18.310600000000001</v>
      </c>
      <c r="M34" s="32">
        <v>14.7347</v>
      </c>
      <c r="N34" s="32"/>
      <c r="O34" s="32"/>
      <c r="P34" s="32"/>
      <c r="Q34" s="32">
        <v>79.214100000000002</v>
      </c>
      <c r="R34" s="32">
        <v>52.905500000000004</v>
      </c>
      <c r="S34" s="32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</row>
    <row r="35" spans="1:70" x14ac:dyDescent="0.25">
      <c r="A35" s="3" t="s">
        <v>96</v>
      </c>
      <c r="E35" s="32">
        <v>29</v>
      </c>
      <c r="F35" s="32">
        <v>21</v>
      </c>
      <c r="G35" s="32">
        <v>17.6753</v>
      </c>
      <c r="H35" s="32">
        <v>7.048</v>
      </c>
      <c r="I35" s="32"/>
      <c r="J35" s="32">
        <v>3.31</v>
      </c>
      <c r="K35" s="32">
        <v>2.79</v>
      </c>
      <c r="L35" s="32">
        <v>43.777299999999997</v>
      </c>
      <c r="M35" s="32">
        <v>37.179699999999997</v>
      </c>
      <c r="N35" s="32">
        <v>21.185600000000001</v>
      </c>
      <c r="O35" s="32">
        <v>22.5487</v>
      </c>
      <c r="P35" s="32">
        <v>20.948699999999999</v>
      </c>
      <c r="Q35" s="32">
        <v>79.214100000000002</v>
      </c>
      <c r="R35" s="32">
        <v>58.166800000000002</v>
      </c>
      <c r="S35" s="32">
        <v>25.383700000000001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</row>
    <row r="36" spans="1:70" x14ac:dyDescent="0.25">
      <c r="A36" s="3" t="s">
        <v>9</v>
      </c>
      <c r="B36" s="3" t="s">
        <v>28</v>
      </c>
      <c r="C36" s="3" t="s">
        <v>155</v>
      </c>
      <c r="D36" s="3" t="s">
        <v>24</v>
      </c>
      <c r="E36" s="32"/>
      <c r="F36" s="32"/>
      <c r="G36" s="32"/>
      <c r="H36" s="32"/>
      <c r="I36" s="32">
        <v>15.7904</v>
      </c>
      <c r="J36" s="32"/>
      <c r="K36" s="32"/>
      <c r="L36" s="32"/>
      <c r="M36" s="32"/>
      <c r="N36" s="32"/>
      <c r="O36" s="32"/>
      <c r="P36" s="32"/>
      <c r="Q36" s="32"/>
      <c r="R36" s="32"/>
      <c r="S36" s="32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</row>
    <row r="37" spans="1:70" outlineLevel="1" x14ac:dyDescent="0.25">
      <c r="A37"/>
      <c r="B37"/>
      <c r="C37" s="3" t="s">
        <v>156</v>
      </c>
      <c r="D37" s="3" t="s">
        <v>34</v>
      </c>
      <c r="E37" s="32"/>
      <c r="F37" s="32"/>
      <c r="G37" s="32"/>
      <c r="H37" s="32"/>
      <c r="I37" s="32">
        <v>3.3405</v>
      </c>
      <c r="J37" s="32"/>
      <c r="K37" s="32"/>
      <c r="L37" s="32"/>
      <c r="M37" s="32"/>
      <c r="N37" s="32"/>
      <c r="O37" s="32"/>
      <c r="P37" s="32"/>
      <c r="Q37" s="32"/>
      <c r="R37" s="32"/>
      <c r="S37" s="32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</row>
    <row r="38" spans="1:70" outlineLevel="1" x14ac:dyDescent="0.25">
      <c r="A38"/>
      <c r="B38"/>
      <c r="C38" s="3" t="s">
        <v>84</v>
      </c>
      <c r="D38" s="3" t="s">
        <v>24</v>
      </c>
      <c r="E38" s="32">
        <v>5</v>
      </c>
      <c r="F38" s="32">
        <v>5</v>
      </c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</row>
    <row r="39" spans="1:70" outlineLevel="1" x14ac:dyDescent="0.25">
      <c r="A39"/>
      <c r="B39"/>
      <c r="C39" s="3" t="s">
        <v>157</v>
      </c>
      <c r="D39" s="3" t="s">
        <v>33</v>
      </c>
      <c r="E39" s="32"/>
      <c r="F39" s="32"/>
      <c r="G39" s="32"/>
      <c r="H39" s="32"/>
      <c r="I39" s="32">
        <v>0.70130000000000003</v>
      </c>
      <c r="J39" s="32"/>
      <c r="K39" s="32"/>
      <c r="L39" s="32"/>
      <c r="M39" s="32"/>
      <c r="N39" s="32"/>
      <c r="O39" s="32"/>
      <c r="P39" s="32"/>
      <c r="Q39" s="32"/>
      <c r="R39" s="32"/>
      <c r="S39" s="32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</row>
    <row r="40" spans="1:70" outlineLevel="1" x14ac:dyDescent="0.25">
      <c r="A40"/>
      <c r="B40"/>
      <c r="C40" s="3" t="s">
        <v>158</v>
      </c>
      <c r="D40" s="3" t="s">
        <v>33</v>
      </c>
      <c r="E40" s="32"/>
      <c r="F40" s="32"/>
      <c r="G40" s="32"/>
      <c r="H40" s="32"/>
      <c r="I40" s="32">
        <v>57.479199999999999</v>
      </c>
      <c r="J40" s="32">
        <v>0.65</v>
      </c>
      <c r="K40" s="32"/>
      <c r="L40" s="32"/>
      <c r="M40" s="32"/>
      <c r="N40" s="32"/>
      <c r="O40" s="32"/>
      <c r="P40" s="32"/>
      <c r="Q40" s="32"/>
      <c r="R40" s="32"/>
      <c r="S40" s="32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</row>
    <row r="41" spans="1:70" outlineLevel="1" x14ac:dyDescent="0.25">
      <c r="A41"/>
      <c r="B41" s="3" t="s">
        <v>10</v>
      </c>
      <c r="C41" s="3" t="s">
        <v>83</v>
      </c>
      <c r="D41" s="3" t="s">
        <v>24</v>
      </c>
      <c r="E41" s="32">
        <v>4</v>
      </c>
      <c r="F41" s="32">
        <v>4</v>
      </c>
      <c r="G41" s="32">
        <v>2.9839000000000002</v>
      </c>
      <c r="H41" s="32"/>
      <c r="I41" s="32"/>
      <c r="J41" s="32"/>
      <c r="K41" s="32"/>
      <c r="L41" s="32"/>
      <c r="M41" s="32"/>
      <c r="N41" s="32">
        <v>3.0131000000000001</v>
      </c>
      <c r="O41" s="32">
        <v>2.9876</v>
      </c>
      <c r="P41" s="32">
        <v>3.0007999999999999</v>
      </c>
      <c r="Q41" s="32"/>
      <c r="R41" s="32"/>
      <c r="S41" s="32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</row>
    <row r="42" spans="1:70" outlineLevel="1" x14ac:dyDescent="0.25">
      <c r="A42"/>
      <c r="B42"/>
      <c r="C42" s="3" t="s">
        <v>82</v>
      </c>
      <c r="D42" s="3" t="s">
        <v>24</v>
      </c>
      <c r="E42" s="32">
        <v>3</v>
      </c>
      <c r="F42" s="32">
        <v>3</v>
      </c>
      <c r="G42" s="32">
        <v>4.1163999999999996</v>
      </c>
      <c r="H42" s="32"/>
      <c r="I42" s="32"/>
      <c r="J42" s="32"/>
      <c r="K42" s="32"/>
      <c r="L42" s="32"/>
      <c r="M42" s="32"/>
      <c r="N42" s="32">
        <v>3.7113999999999998</v>
      </c>
      <c r="O42" s="32">
        <v>5.0599999999999996</v>
      </c>
      <c r="P42" s="32">
        <v>3.9357000000000002</v>
      </c>
      <c r="Q42" s="32"/>
      <c r="R42" s="32"/>
      <c r="S42" s="3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</row>
    <row r="43" spans="1:70" outlineLevel="1" x14ac:dyDescent="0.25">
      <c r="A43"/>
      <c r="B43"/>
      <c r="C43" s="3" t="s">
        <v>159</v>
      </c>
      <c r="D43" s="3" t="s">
        <v>24</v>
      </c>
      <c r="E43" s="32"/>
      <c r="F43" s="32"/>
      <c r="G43" s="32"/>
      <c r="H43" s="32"/>
      <c r="I43" s="32"/>
      <c r="J43" s="32">
        <v>0.48</v>
      </c>
      <c r="K43" s="32">
        <v>0.61</v>
      </c>
      <c r="L43" s="32"/>
      <c r="M43" s="32"/>
      <c r="N43" s="32"/>
      <c r="O43" s="32"/>
      <c r="P43" s="32"/>
      <c r="Q43" s="32"/>
      <c r="R43" s="32"/>
      <c r="S43" s="32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</row>
    <row r="44" spans="1:70" outlineLevel="1" x14ac:dyDescent="0.25">
      <c r="A44"/>
      <c r="B44" s="3" t="s">
        <v>27</v>
      </c>
      <c r="C44" s="3" t="s">
        <v>80</v>
      </c>
      <c r="D44" s="3" t="s">
        <v>24</v>
      </c>
      <c r="E44" s="32">
        <v>3</v>
      </c>
      <c r="F44" s="32">
        <v>3</v>
      </c>
      <c r="G44" s="32">
        <v>4.6383999999999999</v>
      </c>
      <c r="H44" s="32"/>
      <c r="I44" s="32"/>
      <c r="J44" s="32"/>
      <c r="K44" s="32">
        <v>0.63</v>
      </c>
      <c r="L44" s="32"/>
      <c r="M44" s="32"/>
      <c r="N44" s="32">
        <v>4.0106999999999999</v>
      </c>
      <c r="O44" s="32">
        <v>4.2478999999999996</v>
      </c>
      <c r="P44" s="32">
        <v>3.3233999999999999</v>
      </c>
      <c r="Q44" s="32"/>
      <c r="R44" s="32"/>
      <c r="S44" s="32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</row>
    <row r="45" spans="1:70" outlineLevel="1" x14ac:dyDescent="0.25">
      <c r="A45"/>
      <c r="B45"/>
      <c r="C45" s="3" t="s">
        <v>79</v>
      </c>
      <c r="D45" s="3" t="s">
        <v>24</v>
      </c>
      <c r="E45" s="32">
        <v>3</v>
      </c>
      <c r="F45" s="32">
        <v>3</v>
      </c>
      <c r="G45" s="32">
        <v>3.9180000000000001</v>
      </c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</row>
    <row r="46" spans="1:70" outlineLevel="1" x14ac:dyDescent="0.25">
      <c r="A46"/>
      <c r="B46" s="3" t="s">
        <v>23</v>
      </c>
      <c r="C46" s="3" t="s">
        <v>81</v>
      </c>
      <c r="D46" s="3" t="s">
        <v>24</v>
      </c>
      <c r="E46" s="32">
        <v>3</v>
      </c>
      <c r="F46" s="32">
        <v>3</v>
      </c>
      <c r="G46" s="32">
        <v>3.1394000000000002</v>
      </c>
      <c r="H46" s="32"/>
      <c r="I46" s="32">
        <v>3.2757000000000001</v>
      </c>
      <c r="J46" s="32">
        <v>0.66</v>
      </c>
      <c r="K46" s="32">
        <v>0.65</v>
      </c>
      <c r="L46" s="32"/>
      <c r="M46" s="32"/>
      <c r="N46" s="32">
        <v>5.3136999999999999</v>
      </c>
      <c r="O46" s="32"/>
      <c r="P46" s="32">
        <v>4.4635999999999996</v>
      </c>
      <c r="Q46" s="32"/>
      <c r="R46" s="32"/>
      <c r="S46" s="32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</row>
    <row r="47" spans="1:70" outlineLevel="1" x14ac:dyDescent="0.25">
      <c r="A47"/>
      <c r="B47" s="3" t="s">
        <v>95</v>
      </c>
      <c r="C47" s="3" t="s">
        <v>160</v>
      </c>
      <c r="D47" s="3" t="s">
        <v>24</v>
      </c>
      <c r="E47" s="32"/>
      <c r="F47" s="32"/>
      <c r="G47" s="32"/>
      <c r="H47" s="32"/>
      <c r="I47" s="32"/>
      <c r="J47" s="32">
        <v>0.05</v>
      </c>
      <c r="K47" s="32"/>
      <c r="L47" s="32">
        <v>0.22389999999999999</v>
      </c>
      <c r="M47" s="32">
        <v>0.18010000000000001</v>
      </c>
      <c r="N47" s="32"/>
      <c r="O47" s="32"/>
      <c r="P47" s="32"/>
      <c r="Q47" s="32">
        <v>0.25790000000000002</v>
      </c>
      <c r="R47" s="32"/>
      <c r="S47" s="32">
        <v>0.20369999999999999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</row>
    <row r="48" spans="1:70" outlineLevel="1" x14ac:dyDescent="0.25">
      <c r="A48"/>
      <c r="B48"/>
      <c r="C48" s="3" t="s">
        <v>161</v>
      </c>
      <c r="D48" s="3" t="s">
        <v>24</v>
      </c>
      <c r="E48" s="32"/>
      <c r="F48" s="32"/>
      <c r="G48" s="32"/>
      <c r="H48" s="32"/>
      <c r="I48" s="32"/>
      <c r="J48" s="32">
        <v>0.04</v>
      </c>
      <c r="K48" s="32"/>
      <c r="L48" s="32">
        <v>0.46400000000000002</v>
      </c>
      <c r="M48" s="32">
        <v>0.37330000000000002</v>
      </c>
      <c r="N48" s="32"/>
      <c r="O48" s="32">
        <v>0.39900000000000002</v>
      </c>
      <c r="P48" s="32"/>
      <c r="Q48" s="32">
        <v>0.39200000000000002</v>
      </c>
      <c r="R48" s="32">
        <v>0.5857</v>
      </c>
      <c r="S48" s="32">
        <v>0.42220000000000002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</row>
    <row r="49" spans="1:70" outlineLevel="1" x14ac:dyDescent="0.25">
      <c r="A49"/>
      <c r="B49"/>
      <c r="C49" s="3" t="s">
        <v>162</v>
      </c>
      <c r="D49" s="3" t="s">
        <v>24</v>
      </c>
      <c r="E49" s="32"/>
      <c r="F49" s="32"/>
      <c r="G49" s="32"/>
      <c r="H49" s="32"/>
      <c r="I49" s="32"/>
      <c r="J49" s="32">
        <v>0.01</v>
      </c>
      <c r="K49" s="32"/>
      <c r="L49" s="32">
        <v>3.4599999999999999E-2</v>
      </c>
      <c r="M49" s="32">
        <v>2.7799999999999998E-2</v>
      </c>
      <c r="N49" s="32"/>
      <c r="O49" s="32">
        <v>3.5900000000000001E-2</v>
      </c>
      <c r="P49" s="32"/>
      <c r="Q49" s="32">
        <v>1.3299999999999999E-2</v>
      </c>
      <c r="R49" s="32"/>
      <c r="S49" s="32">
        <v>3.15E-2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</row>
    <row r="50" spans="1:70" outlineLevel="1" x14ac:dyDescent="0.25">
      <c r="A50"/>
      <c r="B50"/>
      <c r="C50" s="3" t="s">
        <v>107</v>
      </c>
      <c r="D50" s="3" t="s">
        <v>24</v>
      </c>
      <c r="E50" s="32"/>
      <c r="F50" s="32"/>
      <c r="G50" s="32"/>
      <c r="H50" s="32"/>
      <c r="I50" s="32"/>
      <c r="J50" s="32"/>
      <c r="K50" s="32"/>
      <c r="L50" s="32">
        <v>8.5000000000000006E-3</v>
      </c>
      <c r="M50" s="32">
        <v>6.7999999999999996E-3</v>
      </c>
      <c r="N50" s="32">
        <v>1.1000000000000001E-3</v>
      </c>
      <c r="O50" s="32">
        <v>7.6E-3</v>
      </c>
      <c r="P50" s="32">
        <v>1.1999999999999999E-3</v>
      </c>
      <c r="Q50" s="32">
        <v>5.8999999999999999E-3</v>
      </c>
      <c r="R50" s="32"/>
      <c r="S50" s="32">
        <v>7.7000000000000002E-3</v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</row>
    <row r="51" spans="1:70" outlineLevel="1" x14ac:dyDescent="0.25">
      <c r="A51"/>
      <c r="B51" s="3" t="s">
        <v>29</v>
      </c>
      <c r="C51" s="3" t="s">
        <v>29</v>
      </c>
      <c r="D51" s="3" t="s">
        <v>24</v>
      </c>
      <c r="E51" s="32">
        <v>0</v>
      </c>
      <c r="F51" s="32">
        <v>0</v>
      </c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</row>
    <row r="52" spans="1:70" x14ac:dyDescent="0.25">
      <c r="A52" s="3" t="s">
        <v>94</v>
      </c>
      <c r="E52" s="32">
        <v>21</v>
      </c>
      <c r="F52" s="32">
        <v>21</v>
      </c>
      <c r="G52" s="32">
        <v>18.796100000000003</v>
      </c>
      <c r="H52" s="32"/>
      <c r="I52" s="32">
        <v>80.587099999999992</v>
      </c>
      <c r="J52" s="32">
        <v>1.8900000000000001</v>
      </c>
      <c r="K52" s="32">
        <v>1.8900000000000001</v>
      </c>
      <c r="L52" s="32">
        <v>0.73099999999999987</v>
      </c>
      <c r="M52" s="32">
        <v>0.58800000000000008</v>
      </c>
      <c r="N52" s="32">
        <v>16.05</v>
      </c>
      <c r="O52" s="32">
        <v>12.737999999999998</v>
      </c>
      <c r="P52" s="32">
        <v>14.7247</v>
      </c>
      <c r="Q52" s="32">
        <v>0.66910000000000003</v>
      </c>
      <c r="R52" s="32">
        <v>0.5857</v>
      </c>
      <c r="S52" s="32">
        <v>0.66510000000000002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</row>
    <row r="53" spans="1:70" x14ac:dyDescent="0.25">
      <c r="A53" s="3" t="s">
        <v>31</v>
      </c>
      <c r="B53" s="3" t="s">
        <v>104</v>
      </c>
      <c r="C53" s="3" t="s">
        <v>104</v>
      </c>
      <c r="D53"/>
      <c r="E53" s="32">
        <v>3</v>
      </c>
      <c r="F53" s="32">
        <v>3</v>
      </c>
      <c r="G53" s="32">
        <v>7.0697999999999999</v>
      </c>
      <c r="H53" s="32">
        <v>2.2774000000000001</v>
      </c>
      <c r="I53" s="32">
        <v>61.521000000000001</v>
      </c>
      <c r="J53" s="32">
        <v>1.1000000000000001</v>
      </c>
      <c r="K53" s="32"/>
      <c r="L53" s="32">
        <v>18.310600000000001</v>
      </c>
      <c r="M53" s="32">
        <v>14.7347</v>
      </c>
      <c r="N53" s="32"/>
      <c r="O53" s="32">
        <v>0.79330000000000001</v>
      </c>
      <c r="P53" s="32"/>
      <c r="Q53" s="32">
        <v>79.214100000000002</v>
      </c>
      <c r="R53" s="32">
        <v>52.905500000000004</v>
      </c>
      <c r="S53" s="32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</row>
    <row r="54" spans="1:70" x14ac:dyDescent="0.25">
      <c r="A54" s="3" t="s">
        <v>93</v>
      </c>
      <c r="E54" s="32">
        <v>3</v>
      </c>
      <c r="F54" s="32">
        <v>3</v>
      </c>
      <c r="G54" s="32">
        <v>7.0697999999999999</v>
      </c>
      <c r="H54" s="32">
        <v>2.2774000000000001</v>
      </c>
      <c r="I54" s="32">
        <v>61.521000000000001</v>
      </c>
      <c r="J54" s="32">
        <v>1.1000000000000001</v>
      </c>
      <c r="K54" s="32"/>
      <c r="L54" s="32">
        <v>18.310600000000001</v>
      </c>
      <c r="M54" s="32">
        <v>14.7347</v>
      </c>
      <c r="N54" s="32"/>
      <c r="O54" s="32">
        <v>0.79330000000000001</v>
      </c>
      <c r="P54" s="32"/>
      <c r="Q54" s="32">
        <v>79.214100000000002</v>
      </c>
      <c r="R54" s="32">
        <v>52.905500000000004</v>
      </c>
      <c r="S54" s="32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</row>
    <row r="55" spans="1:70" x14ac:dyDescent="0.25">
      <c r="A55" s="3" t="s">
        <v>105</v>
      </c>
      <c r="B55" s="3" t="s">
        <v>92</v>
      </c>
      <c r="C55" s="3" t="s">
        <v>105</v>
      </c>
      <c r="D55" s="3" t="s">
        <v>34</v>
      </c>
      <c r="E55" s="32">
        <v>0</v>
      </c>
      <c r="F55" s="32">
        <v>0</v>
      </c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</row>
    <row r="56" spans="1:70" x14ac:dyDescent="0.25">
      <c r="A56" s="3" t="s">
        <v>106</v>
      </c>
      <c r="E56" s="32">
        <v>0</v>
      </c>
      <c r="F56" s="32">
        <v>0</v>
      </c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</row>
    <row r="57" spans="1:70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</row>
    <row r="58" spans="1:70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</row>
    <row r="59" spans="1:70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</row>
    <row r="60" spans="1:70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</row>
    <row r="61" spans="1:70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</row>
    <row r="62" spans="1:70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</row>
    <row r="63" spans="1:70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</row>
    <row r="64" spans="1:70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</row>
    <row r="65" spans="1:70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1:70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1:70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1:70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1:70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1:70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1:70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1:70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1:70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1:70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1:70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1:70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1:70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1:70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</row>
    <row r="79" spans="1:70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</row>
    <row r="80" spans="1:70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</row>
    <row r="81" spans="1:64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</row>
    <row r="82" spans="1:64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</row>
    <row r="83" spans="1:64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</row>
    <row r="84" spans="1:64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</row>
    <row r="85" spans="1:64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</row>
    <row r="86" spans="1:64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</row>
    <row r="87" spans="1:64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</row>
    <row r="88" spans="1:64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</row>
    <row r="89" spans="1:64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</row>
    <row r="90" spans="1:64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</row>
    <row r="91" spans="1:64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</row>
    <row r="92" spans="1:64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</row>
    <row r="93" spans="1:64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</row>
    <row r="94" spans="1:64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</row>
    <row r="95" spans="1:64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</row>
    <row r="96" spans="1:64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</row>
    <row r="97" spans="1:64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</row>
    <row r="98" spans="1:64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</row>
    <row r="99" spans="1:64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</row>
    <row r="100" spans="1:64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</row>
    <row r="101" spans="1:64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</row>
    <row r="102" spans="1:64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</row>
    <row r="103" spans="1:64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</row>
    <row r="104" spans="1:64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</row>
    <row r="105" spans="1:64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</row>
    <row r="106" spans="1:64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</row>
    <row r="107" spans="1:64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</row>
    <row r="108" spans="1:64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</row>
    <row r="109" spans="1:64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</row>
    <row r="110" spans="1:64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</row>
    <row r="111" spans="1:64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</row>
    <row r="112" spans="1:64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</row>
    <row r="113" spans="1:64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</row>
    <row r="114" spans="1:64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</row>
    <row r="115" spans="1:64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</row>
    <row r="116" spans="1:64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</row>
    <row r="117" spans="1:64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</row>
    <row r="118" spans="1:64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</row>
    <row r="119" spans="1:64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</row>
    <row r="120" spans="1:64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</row>
    <row r="121" spans="1:64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</row>
    <row r="122" spans="1:64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</row>
    <row r="123" spans="1:64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</row>
    <row r="124" spans="1:64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</row>
    <row r="125" spans="1:64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</row>
    <row r="126" spans="1:64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</row>
    <row r="127" spans="1:64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</row>
    <row r="128" spans="1:64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</row>
    <row r="129" spans="1:64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</row>
    <row r="130" spans="1:64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</row>
    <row r="131" spans="1:64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</row>
    <row r="132" spans="1:64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</row>
    <row r="133" spans="1:64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</row>
    <row r="134" spans="1:64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</row>
    <row r="135" spans="1:64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</row>
    <row r="136" spans="1:64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</row>
    <row r="137" spans="1:64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</row>
    <row r="138" spans="1:64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</row>
    <row r="139" spans="1:64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</row>
    <row r="140" spans="1:64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</row>
    <row r="141" spans="1:64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</row>
    <row r="142" spans="1:64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</row>
    <row r="143" spans="1:64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</row>
    <row r="144" spans="1:64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</row>
    <row r="145" spans="1:64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</row>
    <row r="146" spans="1:64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</row>
    <row r="147" spans="1:64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</row>
    <row r="148" spans="1:64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</row>
    <row r="149" spans="1:64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</row>
    <row r="150" spans="1:64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</row>
    <row r="151" spans="1:64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</row>
    <row r="152" spans="1:64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</row>
    <row r="153" spans="1:64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</row>
    <row r="154" spans="1:64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</row>
    <row r="155" spans="1:64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</row>
    <row r="156" spans="1:64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</row>
    <row r="157" spans="1:64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</row>
    <row r="158" spans="1:64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</row>
    <row r="159" spans="1:64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</row>
    <row r="160" spans="1:64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</row>
    <row r="161" spans="1:64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</row>
    <row r="162" spans="1:64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</row>
    <row r="163" spans="1:64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</row>
    <row r="164" spans="1:64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</row>
    <row r="165" spans="1:64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</row>
    <row r="166" spans="1:64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</row>
    <row r="167" spans="1:64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</row>
    <row r="168" spans="1:64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</row>
    <row r="169" spans="1:64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</row>
    <row r="170" spans="1:64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</row>
    <row r="171" spans="1:64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</row>
    <row r="172" spans="1:64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</row>
    <row r="173" spans="1:64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</row>
    <row r="174" spans="1:64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</row>
    <row r="175" spans="1:64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</row>
    <row r="176" spans="1:64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</row>
    <row r="177" spans="1:64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</row>
    <row r="178" spans="1:64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</row>
    <row r="179" spans="1:64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</row>
    <row r="180" spans="1:64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</row>
    <row r="181" spans="1:64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</row>
    <row r="182" spans="1:64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</row>
    <row r="183" spans="1:64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</row>
    <row r="184" spans="1:64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</row>
    <row r="185" spans="1:64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</row>
    <row r="186" spans="1:64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</row>
    <row r="187" spans="1:64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</row>
    <row r="188" spans="1:64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</row>
    <row r="189" spans="1:64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</row>
    <row r="190" spans="1:64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</row>
    <row r="191" spans="1:64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</row>
    <row r="192" spans="1:64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</row>
    <row r="193" spans="1:64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</row>
    <row r="194" spans="1:64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</row>
    <row r="195" spans="1:64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</row>
    <row r="196" spans="1:64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</row>
    <row r="197" spans="1:64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</row>
    <row r="198" spans="1:64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</row>
    <row r="199" spans="1:64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</row>
    <row r="200" spans="1:64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</row>
    <row r="201" spans="1:64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</row>
    <row r="202" spans="1:64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</row>
    <row r="203" spans="1:64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</row>
    <row r="204" spans="1:64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</row>
    <row r="205" spans="1:64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</row>
    <row r="206" spans="1:64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</row>
    <row r="207" spans="1:64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</row>
    <row r="208" spans="1:64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</row>
    <row r="209" spans="1:64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</row>
    <row r="210" spans="1:64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</row>
    <row r="211" spans="1:64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</row>
    <row r="212" spans="1:64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</row>
    <row r="213" spans="1:64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</row>
    <row r="214" spans="1:64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</row>
    <row r="215" spans="1:64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</row>
    <row r="216" spans="1:64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</row>
    <row r="217" spans="1:64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</row>
    <row r="218" spans="1:64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</row>
    <row r="219" spans="1:64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</row>
    <row r="220" spans="1:64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</row>
    <row r="221" spans="1:64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</row>
    <row r="222" spans="1:64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</row>
    <row r="223" spans="1:64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</row>
    <row r="224" spans="1:64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</row>
    <row r="225" spans="1:64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</row>
    <row r="226" spans="1:64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</row>
    <row r="227" spans="1:64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</row>
    <row r="228" spans="1:64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</row>
    <row r="229" spans="1:64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</row>
  </sheetData>
  <conditionalFormatting sqref="G1:AB7 G78:AB1048576">
    <cfRule type="expression" dxfId="10" priority="1">
      <formula>OR(G1&gt;F1*1.1,G1&lt;F1*0.9)</formula>
    </cfRule>
  </conditionalFormatting>
  <pageMargins left="0.7" right="0.7" top="0.75" bottom="0.75" header="0.3" footer="0.3"/>
  <pageSetup paperSize="9" orientation="portrait" horizontalDpi="0" verticalDpi="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0A1682-FDBC-4FD5-913A-8450945861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EUR</vt:lpstr>
      <vt:lpstr>CHF</vt:lpstr>
      <vt:lpstr>USD</vt:lpstr>
      <vt:lpstr>GBP</vt:lpstr>
      <vt:lpstr>Allocations</vt:lpstr>
      <vt:lpstr>Allocations!color</vt:lpstr>
      <vt:lpstr>EUR!Print_Area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AAgret</dc:creator>
  <cp:lastModifiedBy>Alexandre Agret</cp:lastModifiedBy>
  <cp:lastPrinted>2020-03-10T07:00:05Z</cp:lastPrinted>
  <dcterms:created xsi:type="dcterms:W3CDTF">2019-10-24T10:07:57Z</dcterms:created>
  <dcterms:modified xsi:type="dcterms:W3CDTF">2020-03-10T09:42:58Z</dcterms:modified>
</cp:coreProperties>
</file>