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\Dropbox\"/>
    </mc:Choice>
  </mc:AlternateContent>
  <bookViews>
    <workbookView xWindow="0" yWindow="0" windowWidth="21600" windowHeight="12360" firstSheet="3" activeTab="3"/>
  </bookViews>
  <sheets>
    <sheet name="Q2 16" sheetId="1" state="hidden" r:id="rId1"/>
    <sheet name="Q4 16" sheetId="4" state="hidden" r:id="rId2"/>
    <sheet name="Q4.1 16" sheetId="5" state="hidden" r:id="rId3"/>
    <sheet name="Q1 17" sheetId="6" r:id="rId4"/>
    <sheet name="Q1 16" sheetId="2" state="hidden" r:id="rId5"/>
    <sheet name="Q3 16" sheetId="3" state="hidden" r:id="rId6"/>
  </sheets>
  <externalReferences>
    <externalReference r:id="rId7"/>
  </externalReferences>
  <definedNames>
    <definedName name="_xlnm.Print_Area" localSheetId="0">'Q2 16'!$B$1:$J$53</definedName>
    <definedName name="_xlnm.Print_Area" localSheetId="1">'Q4 16'!$B$1:$S$61</definedName>
  </definedNames>
  <calcPr calcId="152511"/>
</workbook>
</file>

<file path=xl/calcChain.xml><?xml version="1.0" encoding="utf-8"?>
<calcChain xmlns="http://schemas.openxmlformats.org/spreadsheetml/2006/main">
  <c r="AB8" i="6" l="1"/>
  <c r="AB30" i="6"/>
  <c r="AB57" i="6"/>
  <c r="Z57" i="6"/>
  <c r="Z30" i="6"/>
  <c r="Z8" i="6"/>
  <c r="AB6" i="6" l="1"/>
  <c r="P71" i="6"/>
  <c r="K71" i="6"/>
  <c r="R35" i="6"/>
  <c r="M35" i="6"/>
  <c r="P16" i="6"/>
  <c r="R16" i="6" s="1"/>
  <c r="R67" i="6"/>
  <c r="M67" i="6"/>
  <c r="I67" i="6"/>
  <c r="R39" i="6"/>
  <c r="M39" i="6"/>
  <c r="I39" i="6"/>
  <c r="R49" i="6"/>
  <c r="M49" i="6"/>
  <c r="P47" i="6"/>
  <c r="R47" i="6" s="1"/>
  <c r="K47" i="6"/>
  <c r="M47" i="6" s="1"/>
  <c r="M71" i="6" s="1"/>
  <c r="R22" i="6"/>
  <c r="M22" i="6"/>
  <c r="M16" i="6"/>
  <c r="R14" i="6"/>
  <c r="M14" i="6"/>
  <c r="I16" i="6"/>
  <c r="I14" i="6"/>
  <c r="D8" i="6"/>
  <c r="I64" i="6" l="1"/>
  <c r="I72" i="6"/>
  <c r="I71" i="6"/>
  <c r="D32" i="6"/>
  <c r="D43" i="6"/>
  <c r="P64" i="6"/>
  <c r="R64" i="6" s="1"/>
  <c r="K64" i="6"/>
  <c r="M64" i="6" s="1"/>
  <c r="R71" i="6"/>
  <c r="P72" i="6"/>
  <c r="R72" i="6" s="1"/>
  <c r="K72" i="6"/>
  <c r="M72" i="6" s="1"/>
  <c r="I73" i="6"/>
  <c r="P63" i="6"/>
  <c r="K63" i="6"/>
  <c r="R36" i="6"/>
  <c r="M36" i="6"/>
  <c r="P44" i="6"/>
  <c r="R44" i="6" s="1"/>
  <c r="K44" i="6"/>
  <c r="M44" i="6" s="1"/>
  <c r="I36" i="6"/>
  <c r="I44" i="6"/>
  <c r="I35" i="6"/>
  <c r="I49" i="6"/>
  <c r="I47" i="6"/>
  <c r="R21" i="6"/>
  <c r="M21" i="6"/>
  <c r="I22" i="6"/>
  <c r="I21" i="6"/>
  <c r="P73" i="6" l="1"/>
  <c r="R73" i="6" s="1"/>
  <c r="K73" i="6"/>
  <c r="M73" i="6" s="1"/>
  <c r="H42" i="6"/>
  <c r="I42" i="6" s="1"/>
  <c r="H46" i="6"/>
  <c r="I46" i="6" s="1"/>
  <c r="H38" i="6"/>
  <c r="I38" i="6" s="1"/>
  <c r="H37" i="6"/>
  <c r="I37" i="6" s="1"/>
  <c r="H33" i="6"/>
  <c r="I33" i="6" s="1"/>
  <c r="H32" i="6"/>
  <c r="I32" i="6" s="1"/>
  <c r="I51" i="6"/>
  <c r="I50" i="6"/>
  <c r="I48" i="6"/>
  <c r="I45" i="6"/>
  <c r="I34" i="6"/>
  <c r="I43" i="6"/>
  <c r="I41" i="6"/>
  <c r="I40" i="6"/>
  <c r="P41" i="6"/>
  <c r="R41" i="6" s="1"/>
  <c r="P40" i="6"/>
  <c r="R40" i="6" s="1"/>
  <c r="K41" i="6"/>
  <c r="M41" i="6" s="1"/>
  <c r="K40" i="6"/>
  <c r="M40" i="6" s="1"/>
  <c r="R15" i="6"/>
  <c r="R13" i="6"/>
  <c r="M15" i="6"/>
  <c r="M13" i="6"/>
  <c r="I15" i="6"/>
  <c r="I13" i="6"/>
  <c r="H24" i="6" l="1"/>
  <c r="I24" i="6" s="1"/>
  <c r="H23" i="6"/>
  <c r="I23" i="6" s="1"/>
  <c r="H20" i="6"/>
  <c r="I20" i="6" s="1"/>
  <c r="H9" i="6"/>
  <c r="I9" i="6" s="1"/>
  <c r="H18" i="6"/>
  <c r="I18" i="6" s="1"/>
  <c r="H17" i="6"/>
  <c r="I17" i="6" s="1"/>
  <c r="H19" i="6"/>
  <c r="I19" i="6" s="1"/>
  <c r="H12" i="6"/>
  <c r="I12" i="6" s="1"/>
  <c r="H11" i="6"/>
  <c r="I11" i="6" s="1"/>
  <c r="H10" i="6"/>
  <c r="I10" i="6" s="1"/>
  <c r="H8" i="6"/>
  <c r="I8" i="6" s="1"/>
  <c r="P75" i="6"/>
  <c r="R75" i="6" s="1"/>
  <c r="K75" i="6"/>
  <c r="M75" i="6" s="1"/>
  <c r="H75" i="6"/>
  <c r="I75" i="6" s="1"/>
  <c r="I74" i="6"/>
  <c r="I70" i="6"/>
  <c r="P62" i="6"/>
  <c r="R62" i="6" s="1"/>
  <c r="H62" i="6"/>
  <c r="I62" i="6" s="1"/>
  <c r="H69" i="6"/>
  <c r="I69" i="6" s="1"/>
  <c r="P68" i="6"/>
  <c r="R68" i="6" s="1"/>
  <c r="H68" i="6"/>
  <c r="I68" i="6" s="1"/>
  <c r="D68" i="6"/>
  <c r="P66" i="6"/>
  <c r="R66" i="6" s="1"/>
  <c r="H66" i="6"/>
  <c r="I66" i="6" s="1"/>
  <c r="D66" i="6"/>
  <c r="I65" i="6"/>
  <c r="R63" i="6"/>
  <c r="M63" i="6"/>
  <c r="I63" i="6"/>
  <c r="P61" i="6"/>
  <c r="R61" i="6" s="1"/>
  <c r="K61" i="6"/>
  <c r="M61" i="6" s="1"/>
  <c r="I61" i="6"/>
  <c r="P60" i="6"/>
  <c r="R60" i="6" s="1"/>
  <c r="I60" i="6"/>
  <c r="P59" i="6"/>
  <c r="R59" i="6" s="1"/>
  <c r="I59" i="6"/>
  <c r="D59" i="6"/>
  <c r="X56" i="6" s="1"/>
  <c r="P53" i="6"/>
  <c r="P77" i="6" s="1"/>
  <c r="R77" i="6" s="1"/>
  <c r="K52" i="6"/>
  <c r="K76" i="6" s="1"/>
  <c r="P51" i="6"/>
  <c r="P70" i="6" s="1"/>
  <c r="R70" i="6" s="1"/>
  <c r="K51" i="6"/>
  <c r="K70" i="6" s="1"/>
  <c r="M70" i="6" s="1"/>
  <c r="R50" i="6"/>
  <c r="M50" i="6"/>
  <c r="P48" i="6"/>
  <c r="P74" i="6" s="1"/>
  <c r="R74" i="6" s="1"/>
  <c r="K48" i="6"/>
  <c r="K74" i="6" s="1"/>
  <c r="M74" i="6" s="1"/>
  <c r="P45" i="6"/>
  <c r="R45" i="6" s="1"/>
  <c r="K45" i="6"/>
  <c r="K68" i="6" s="1"/>
  <c r="M68" i="6" s="1"/>
  <c r="P34" i="6"/>
  <c r="R34" i="6" s="1"/>
  <c r="K34" i="6"/>
  <c r="K62" i="6" s="1"/>
  <c r="M62" i="6" s="1"/>
  <c r="P43" i="6"/>
  <c r="P69" i="6" s="1"/>
  <c r="R69" i="6" s="1"/>
  <c r="K43" i="6"/>
  <c r="K69" i="6" s="1"/>
  <c r="M69" i="6" s="1"/>
  <c r="P42" i="6"/>
  <c r="R42" i="6" s="1"/>
  <c r="K42" i="6"/>
  <c r="M42" i="6" s="1"/>
  <c r="P46" i="6"/>
  <c r="R46" i="6" s="1"/>
  <c r="K46" i="6"/>
  <c r="M46" i="6" s="1"/>
  <c r="P38" i="6"/>
  <c r="R38" i="6" s="1"/>
  <c r="K38" i="6"/>
  <c r="K66" i="6" s="1"/>
  <c r="M66" i="6" s="1"/>
  <c r="D38" i="6"/>
  <c r="P37" i="6"/>
  <c r="K37" i="6"/>
  <c r="R33" i="6"/>
  <c r="M33" i="6"/>
  <c r="P32" i="6"/>
  <c r="R32" i="6" s="1"/>
  <c r="K32" i="6"/>
  <c r="K59" i="6" s="1"/>
  <c r="M59" i="6" s="1"/>
  <c r="X29" i="6"/>
  <c r="D31" i="6"/>
  <c r="D58" i="6" s="1"/>
  <c r="I30" i="6"/>
  <c r="I57" i="6" s="1"/>
  <c r="H30" i="6"/>
  <c r="H57" i="6" s="1"/>
  <c r="P29" i="6"/>
  <c r="P56" i="6" s="1"/>
  <c r="R26" i="6"/>
  <c r="M26" i="6"/>
  <c r="R24" i="6"/>
  <c r="M24" i="6"/>
  <c r="R23" i="6"/>
  <c r="M23" i="6"/>
  <c r="R20" i="6"/>
  <c r="M20" i="6"/>
  <c r="R9" i="6"/>
  <c r="M9" i="6"/>
  <c r="R18" i="6"/>
  <c r="M18" i="6"/>
  <c r="D18" i="6"/>
  <c r="R17" i="6"/>
  <c r="M17" i="6"/>
  <c r="R19" i="6"/>
  <c r="M19" i="6"/>
  <c r="R12" i="6"/>
  <c r="M12" i="6"/>
  <c r="R11" i="6"/>
  <c r="M11" i="6"/>
  <c r="D11" i="6"/>
  <c r="R10" i="6"/>
  <c r="M10" i="6"/>
  <c r="R8" i="6"/>
  <c r="M8" i="6"/>
  <c r="X4" i="6"/>
  <c r="K60" i="6" l="1"/>
  <c r="M60" i="6" s="1"/>
  <c r="K65" i="6"/>
  <c r="M65" i="6" s="1"/>
  <c r="R37" i="6"/>
  <c r="P65" i="6"/>
  <c r="R65" i="6" s="1"/>
  <c r="R56" i="6" s="1"/>
  <c r="M48" i="6"/>
  <c r="R4" i="6"/>
  <c r="M43" i="6"/>
  <c r="D52" i="6"/>
  <c r="I52" i="6" s="1"/>
  <c r="D76" i="6"/>
  <c r="I76" i="6" s="1"/>
  <c r="D54" i="6"/>
  <c r="D25" i="6"/>
  <c r="M25" i="6" s="1"/>
  <c r="M38" i="6"/>
  <c r="M51" i="6"/>
  <c r="R53" i="6"/>
  <c r="M32" i="6"/>
  <c r="M37" i="6"/>
  <c r="M34" i="6"/>
  <c r="R48" i="6"/>
  <c r="R51" i="6"/>
  <c r="R43" i="6"/>
  <c r="M45" i="6"/>
  <c r="K59" i="5"/>
  <c r="K58" i="5"/>
  <c r="K57" i="5"/>
  <c r="K55" i="5"/>
  <c r="K54" i="5"/>
  <c r="K53" i="5"/>
  <c r="K51" i="5"/>
  <c r="K50" i="5"/>
  <c r="K49" i="5"/>
  <c r="K47" i="5"/>
  <c r="K46" i="5"/>
  <c r="J59" i="5"/>
  <c r="J58" i="5"/>
  <c r="J57" i="5"/>
  <c r="J56" i="5"/>
  <c r="K56" i="5" s="1"/>
  <c r="J55" i="5"/>
  <c r="J54" i="5"/>
  <c r="J53" i="5"/>
  <c r="J52" i="5"/>
  <c r="K52" i="5" s="1"/>
  <c r="J51" i="5"/>
  <c r="J50" i="5"/>
  <c r="J49" i="5"/>
  <c r="J48" i="5"/>
  <c r="K48" i="5" s="1"/>
  <c r="J47" i="5"/>
  <c r="J46" i="5"/>
  <c r="J38" i="5"/>
  <c r="J37" i="5"/>
  <c r="J36" i="5"/>
  <c r="K36" i="5" s="1"/>
  <c r="J35" i="5"/>
  <c r="K35" i="5" s="1"/>
  <c r="J34" i="5"/>
  <c r="J33" i="5"/>
  <c r="J32" i="5"/>
  <c r="J31" i="5"/>
  <c r="K31" i="5" s="1"/>
  <c r="J30" i="5"/>
  <c r="J29" i="5"/>
  <c r="J28" i="5"/>
  <c r="J27" i="5"/>
  <c r="K27" i="5" s="1"/>
  <c r="J26" i="5"/>
  <c r="K38" i="5"/>
  <c r="K37" i="5"/>
  <c r="K34" i="5"/>
  <c r="K33" i="5"/>
  <c r="K32" i="5"/>
  <c r="K30" i="5"/>
  <c r="K29" i="5"/>
  <c r="K28" i="5"/>
  <c r="K26" i="5"/>
  <c r="K18" i="5"/>
  <c r="K17" i="5"/>
  <c r="K16" i="5"/>
  <c r="K15" i="5"/>
  <c r="K14" i="5"/>
  <c r="K13" i="5"/>
  <c r="K12" i="5"/>
  <c r="K11" i="5"/>
  <c r="K10" i="5"/>
  <c r="K9" i="5"/>
  <c r="K8" i="5"/>
  <c r="R59" i="5"/>
  <c r="T59" i="5" s="1"/>
  <c r="M59" i="5"/>
  <c r="O59" i="5" s="1"/>
  <c r="H59" i="5"/>
  <c r="R56" i="5"/>
  <c r="T56" i="5" s="1"/>
  <c r="H56" i="5"/>
  <c r="H55" i="5"/>
  <c r="R54" i="5"/>
  <c r="T54" i="5" s="1"/>
  <c r="H54" i="5"/>
  <c r="D54" i="5"/>
  <c r="H53" i="5"/>
  <c r="R52" i="5"/>
  <c r="T52" i="5" s="1"/>
  <c r="H52" i="5"/>
  <c r="D52" i="5"/>
  <c r="T51" i="5"/>
  <c r="O51" i="5"/>
  <c r="T50" i="5"/>
  <c r="O50" i="5"/>
  <c r="H50" i="5"/>
  <c r="T49" i="5"/>
  <c r="O49" i="5"/>
  <c r="R48" i="5"/>
  <c r="T48" i="5" s="1"/>
  <c r="M48" i="5"/>
  <c r="O48" i="5" s="1"/>
  <c r="R47" i="5"/>
  <c r="T47" i="5" s="1"/>
  <c r="R46" i="5"/>
  <c r="T46" i="5" s="1"/>
  <c r="D46" i="5"/>
  <c r="R40" i="5"/>
  <c r="T40" i="5" s="1"/>
  <c r="M39" i="5"/>
  <c r="R38" i="5"/>
  <c r="R57" i="5" s="1"/>
  <c r="T57" i="5" s="1"/>
  <c r="M38" i="5"/>
  <c r="M57" i="5" s="1"/>
  <c r="O57" i="5" s="1"/>
  <c r="T37" i="5"/>
  <c r="O37" i="5"/>
  <c r="R36" i="5"/>
  <c r="R58" i="5" s="1"/>
  <c r="T58" i="5" s="1"/>
  <c r="M36" i="5"/>
  <c r="O36" i="5" s="1"/>
  <c r="R35" i="5"/>
  <c r="T35" i="5" s="1"/>
  <c r="M35" i="5"/>
  <c r="M54" i="5" s="1"/>
  <c r="O54" i="5" s="1"/>
  <c r="R34" i="5"/>
  <c r="T34" i="5" s="1"/>
  <c r="M34" i="5"/>
  <c r="M56" i="5" s="1"/>
  <c r="O56" i="5" s="1"/>
  <c r="R33" i="5"/>
  <c r="R55" i="5" s="1"/>
  <c r="T55" i="5" s="1"/>
  <c r="O33" i="5"/>
  <c r="M33" i="5"/>
  <c r="M55" i="5" s="1"/>
  <c r="O55" i="5" s="1"/>
  <c r="D33" i="5"/>
  <c r="R32" i="5"/>
  <c r="T32" i="5" s="1"/>
  <c r="M32" i="5"/>
  <c r="O32" i="5" s="1"/>
  <c r="R31" i="5"/>
  <c r="T31" i="5" s="1"/>
  <c r="M31" i="5"/>
  <c r="O31" i="5" s="1"/>
  <c r="R30" i="5"/>
  <c r="T30" i="5" s="1"/>
  <c r="M30" i="5"/>
  <c r="M53" i="5" s="1"/>
  <c r="O53" i="5" s="1"/>
  <c r="R29" i="5"/>
  <c r="T29" i="5" s="1"/>
  <c r="M29" i="5"/>
  <c r="O29" i="5" s="1"/>
  <c r="D29" i="5"/>
  <c r="R28" i="5"/>
  <c r="T28" i="5" s="1"/>
  <c r="M28" i="5"/>
  <c r="M47" i="5" s="1"/>
  <c r="O47" i="5" s="1"/>
  <c r="T27" i="5"/>
  <c r="O27" i="5"/>
  <c r="R26" i="5"/>
  <c r="T26" i="5" s="1"/>
  <c r="M26" i="5"/>
  <c r="M46" i="5" s="1"/>
  <c r="O46" i="5" s="1"/>
  <c r="D26" i="5"/>
  <c r="D25" i="5"/>
  <c r="D45" i="5" s="1"/>
  <c r="K24" i="5"/>
  <c r="K44" i="5" s="1"/>
  <c r="I24" i="5"/>
  <c r="I44" i="5" s="1"/>
  <c r="H24" i="5"/>
  <c r="H44" i="5" s="1"/>
  <c r="R23" i="5"/>
  <c r="R43" i="5" s="1"/>
  <c r="T20" i="5"/>
  <c r="O20" i="5"/>
  <c r="I19" i="5"/>
  <c r="O19" i="5" s="1"/>
  <c r="H19" i="5"/>
  <c r="T18" i="5"/>
  <c r="O18" i="5"/>
  <c r="H18" i="5"/>
  <c r="T17" i="5"/>
  <c r="O17" i="5"/>
  <c r="H17" i="5"/>
  <c r="T16" i="5"/>
  <c r="O16" i="5"/>
  <c r="T15" i="5"/>
  <c r="O15" i="5"/>
  <c r="H15" i="5"/>
  <c r="T14" i="5"/>
  <c r="O14" i="5"/>
  <c r="H14" i="5"/>
  <c r="D14" i="5"/>
  <c r="T13" i="5"/>
  <c r="O13" i="5"/>
  <c r="H13" i="5"/>
  <c r="T12" i="5"/>
  <c r="O12" i="5"/>
  <c r="T11" i="5"/>
  <c r="O11" i="5"/>
  <c r="H11" i="5"/>
  <c r="T10" i="5"/>
  <c r="O10" i="5"/>
  <c r="H10" i="5"/>
  <c r="D10" i="5"/>
  <c r="T9" i="5"/>
  <c r="O9" i="5"/>
  <c r="H9" i="5"/>
  <c r="T8" i="5"/>
  <c r="O8" i="5"/>
  <c r="H8" i="5"/>
  <c r="D8" i="5"/>
  <c r="O26" i="5" l="1"/>
  <c r="T38" i="5"/>
  <c r="O28" i="5"/>
  <c r="O34" i="5"/>
  <c r="M52" i="6"/>
  <c r="M29" i="6" s="1"/>
  <c r="M4" i="6"/>
  <c r="R29" i="6"/>
  <c r="M76" i="6"/>
  <c r="M56" i="6" s="1"/>
  <c r="D60" i="5"/>
  <c r="T4" i="5"/>
  <c r="O4" i="5"/>
  <c r="D19" i="5"/>
  <c r="D39" i="5"/>
  <c r="T36" i="5"/>
  <c r="O30" i="5"/>
  <c r="M58" i="5"/>
  <c r="O58" i="5" s="1"/>
  <c r="M60" i="5"/>
  <c r="M52" i="5"/>
  <c r="O52" i="5" s="1"/>
  <c r="R53" i="5"/>
  <c r="T53" i="5" s="1"/>
  <c r="T43" i="5" s="1"/>
  <c r="T33" i="5"/>
  <c r="T23" i="5" s="1"/>
  <c r="O35" i="5"/>
  <c r="R61" i="5"/>
  <c r="T61" i="5" s="1"/>
  <c r="O38" i="5"/>
  <c r="Q59" i="4"/>
  <c r="S59" i="4" s="1"/>
  <c r="S58" i="3"/>
  <c r="Q58" i="3"/>
  <c r="L58" i="3"/>
  <c r="N58" i="3" s="1"/>
  <c r="I58" i="3"/>
  <c r="H58" i="3"/>
  <c r="S57" i="3"/>
  <c r="N57" i="3"/>
  <c r="I57" i="3"/>
  <c r="J57" i="3" s="1"/>
  <c r="Q56" i="3"/>
  <c r="S56" i="3" s="1"/>
  <c r="I56" i="3"/>
  <c r="J56" i="3" s="1"/>
  <c r="Q55" i="3"/>
  <c r="S55" i="3" s="1"/>
  <c r="I55" i="3"/>
  <c r="H55" i="3"/>
  <c r="S54" i="3"/>
  <c r="N54" i="3"/>
  <c r="I54" i="3"/>
  <c r="H54" i="3"/>
  <c r="Q53" i="3"/>
  <c r="S53" i="3" s="1"/>
  <c r="I53" i="3"/>
  <c r="H53" i="3"/>
  <c r="D53" i="3"/>
  <c r="S52" i="3"/>
  <c r="N52" i="3"/>
  <c r="I52" i="3"/>
  <c r="H52" i="3"/>
  <c r="Q51" i="3"/>
  <c r="S51" i="3" s="1"/>
  <c r="I51" i="3"/>
  <c r="H51" i="3"/>
  <c r="D51" i="3"/>
  <c r="S50" i="3"/>
  <c r="L50" i="3"/>
  <c r="N50" i="3" s="1"/>
  <c r="I50" i="3"/>
  <c r="J50" i="3" s="1"/>
  <c r="S49" i="3"/>
  <c r="N49" i="3"/>
  <c r="I49" i="3"/>
  <c r="H49" i="3"/>
  <c r="S48" i="3"/>
  <c r="N48" i="3"/>
  <c r="I48" i="3"/>
  <c r="J48" i="3" s="1"/>
  <c r="Q47" i="3"/>
  <c r="S47" i="3" s="1"/>
  <c r="L47" i="3"/>
  <c r="N47" i="3" s="1"/>
  <c r="I47" i="3"/>
  <c r="J47" i="3" s="1"/>
  <c r="Q46" i="3"/>
  <c r="S46" i="3" s="1"/>
  <c r="I46" i="3"/>
  <c r="J46" i="3" s="1"/>
  <c r="Q45" i="3"/>
  <c r="S45" i="3" s="1"/>
  <c r="I45" i="3"/>
  <c r="J45" i="3" s="1"/>
  <c r="D45" i="3"/>
  <c r="Q42" i="3"/>
  <c r="Q39" i="3"/>
  <c r="S39" i="3" s="1"/>
  <c r="L38" i="3"/>
  <c r="L59" i="3" s="1"/>
  <c r="Q37" i="3"/>
  <c r="S37" i="3" s="1"/>
  <c r="L37" i="3"/>
  <c r="L56" i="3" s="1"/>
  <c r="N56" i="3" s="1"/>
  <c r="I37" i="3"/>
  <c r="J37" i="3" s="1"/>
  <c r="S36" i="3"/>
  <c r="N36" i="3"/>
  <c r="I36" i="3"/>
  <c r="J36" i="3" s="1"/>
  <c r="S35" i="3"/>
  <c r="N35" i="3"/>
  <c r="I35" i="3"/>
  <c r="J35" i="3" s="1"/>
  <c r="Q34" i="3"/>
  <c r="S34" i="3" s="1"/>
  <c r="L34" i="3"/>
  <c r="N34" i="3" s="1"/>
  <c r="I34" i="3"/>
  <c r="J34" i="3" s="1"/>
  <c r="Q33" i="3"/>
  <c r="S33" i="3" s="1"/>
  <c r="L33" i="3"/>
  <c r="N33" i="3" s="1"/>
  <c r="I33" i="3"/>
  <c r="J33" i="3" s="1"/>
  <c r="S32" i="3"/>
  <c r="N32" i="3"/>
  <c r="I32" i="3"/>
  <c r="J32" i="3" s="1"/>
  <c r="D32" i="3"/>
  <c r="D38" i="3" s="1"/>
  <c r="I38" i="3" s="1"/>
  <c r="J38" i="3" s="1"/>
  <c r="Q31" i="3"/>
  <c r="S31" i="3" s="1"/>
  <c r="L31" i="3"/>
  <c r="N31" i="3" s="1"/>
  <c r="I31" i="3"/>
  <c r="J31" i="3" s="1"/>
  <c r="Q30" i="3"/>
  <c r="S30" i="3" s="1"/>
  <c r="L30" i="3"/>
  <c r="N30" i="3" s="1"/>
  <c r="I30" i="3"/>
  <c r="J30" i="3" s="1"/>
  <c r="S29" i="3"/>
  <c r="N29" i="3"/>
  <c r="I29" i="3"/>
  <c r="J29" i="3" s="1"/>
  <c r="Q28" i="3"/>
  <c r="S28" i="3" s="1"/>
  <c r="L28" i="3"/>
  <c r="L51" i="3" s="1"/>
  <c r="N51" i="3" s="1"/>
  <c r="I28" i="3"/>
  <c r="J28" i="3" s="1"/>
  <c r="D28" i="3"/>
  <c r="Q27" i="3"/>
  <c r="S27" i="3" s="1"/>
  <c r="L27" i="3"/>
  <c r="L46" i="3" s="1"/>
  <c r="N46" i="3" s="1"/>
  <c r="I27" i="3"/>
  <c r="J27" i="3" s="1"/>
  <c r="S26" i="3"/>
  <c r="N26" i="3"/>
  <c r="I26" i="3"/>
  <c r="J26" i="3" s="1"/>
  <c r="Q25" i="3"/>
  <c r="S25" i="3" s="1"/>
  <c r="L25" i="3"/>
  <c r="L45" i="3" s="1"/>
  <c r="N45" i="3" s="1"/>
  <c r="I25" i="3"/>
  <c r="J25" i="3" s="1"/>
  <c r="D25" i="3"/>
  <c r="D24" i="3"/>
  <c r="D44" i="3" s="1"/>
  <c r="J23" i="3"/>
  <c r="J43" i="3" s="1"/>
  <c r="I23" i="3"/>
  <c r="I43" i="3" s="1"/>
  <c r="H23" i="3"/>
  <c r="H43" i="3" s="1"/>
  <c r="Q22" i="3"/>
  <c r="S19" i="3"/>
  <c r="N19" i="3"/>
  <c r="H18" i="3"/>
  <c r="S17" i="3"/>
  <c r="N17" i="3"/>
  <c r="I17" i="3"/>
  <c r="H17" i="3"/>
  <c r="S16" i="3"/>
  <c r="N16" i="3"/>
  <c r="I16" i="3"/>
  <c r="H16" i="3"/>
  <c r="S15" i="3"/>
  <c r="N15" i="3"/>
  <c r="I15" i="3"/>
  <c r="H15" i="3"/>
  <c r="S14" i="3"/>
  <c r="N14" i="3"/>
  <c r="I14" i="3"/>
  <c r="H14" i="3"/>
  <c r="D14" i="3"/>
  <c r="S13" i="3"/>
  <c r="N13" i="3"/>
  <c r="I13" i="3"/>
  <c r="H13" i="3"/>
  <c r="S12" i="3"/>
  <c r="N12" i="3"/>
  <c r="I12" i="3"/>
  <c r="J12" i="3" s="1"/>
  <c r="S11" i="3"/>
  <c r="N11" i="3"/>
  <c r="I11" i="3"/>
  <c r="H11" i="3"/>
  <c r="S10" i="3"/>
  <c r="N10" i="3"/>
  <c r="I10" i="3"/>
  <c r="H10" i="3"/>
  <c r="D10" i="3"/>
  <c r="S9" i="3"/>
  <c r="N9" i="3"/>
  <c r="I9" i="3"/>
  <c r="H9" i="3"/>
  <c r="S8" i="3"/>
  <c r="N8" i="3"/>
  <c r="I8" i="3"/>
  <c r="H8" i="3"/>
  <c r="D8" i="3"/>
  <c r="O60" i="5" l="1"/>
  <c r="O43" i="5" s="1"/>
  <c r="O39" i="5"/>
  <c r="O23" i="5" s="1"/>
  <c r="J17" i="3"/>
  <c r="J58" i="3"/>
  <c r="L53" i="3"/>
  <c r="N53" i="3" s="1"/>
  <c r="D18" i="3"/>
  <c r="I18" i="3" s="1"/>
  <c r="I19" i="4" s="1"/>
  <c r="D59" i="3"/>
  <c r="I59" i="3" s="1"/>
  <c r="J59" i="3" s="1"/>
  <c r="S4" i="3"/>
  <c r="J8" i="3"/>
  <c r="J9" i="3"/>
  <c r="J13" i="3"/>
  <c r="J52" i="3"/>
  <c r="J10" i="3"/>
  <c r="J11" i="3"/>
  <c r="J14" i="3"/>
  <c r="J15" i="3"/>
  <c r="J16" i="3"/>
  <c r="J49" i="3"/>
  <c r="J51" i="3"/>
  <c r="J53" i="3"/>
  <c r="J54" i="3"/>
  <c r="J55" i="3"/>
  <c r="N18" i="3"/>
  <c r="N4" i="3" s="1"/>
  <c r="J18" i="3"/>
  <c r="S22" i="3"/>
  <c r="S42" i="3"/>
  <c r="N59" i="3"/>
  <c r="N42" i="3" s="1"/>
  <c r="N38" i="3"/>
  <c r="L55" i="3"/>
  <c r="N55" i="3" s="1"/>
  <c r="N25" i="3"/>
  <c r="N37" i="3"/>
  <c r="Q60" i="3"/>
  <c r="S60" i="3" s="1"/>
  <c r="N28" i="3"/>
  <c r="N27" i="3"/>
  <c r="N22" i="3" l="1"/>
  <c r="J16" i="4" l="1"/>
  <c r="Q36" i="4"/>
  <c r="Q58" i="4" s="1"/>
  <c r="L36" i="4"/>
  <c r="L58" i="4" s="1"/>
  <c r="S16" i="4"/>
  <c r="N16" i="4"/>
  <c r="J38" i="4" l="1"/>
  <c r="J37" i="4"/>
  <c r="J36" i="4"/>
  <c r="J35" i="4"/>
  <c r="J34" i="4"/>
  <c r="J33" i="4"/>
  <c r="J32" i="4"/>
  <c r="J31" i="4"/>
  <c r="J30" i="4"/>
  <c r="J29" i="4"/>
  <c r="J28" i="4"/>
  <c r="J27" i="4"/>
  <c r="J26" i="4"/>
  <c r="J18" i="4"/>
  <c r="J17" i="4"/>
  <c r="J15" i="4"/>
  <c r="J14" i="4"/>
  <c r="J13" i="4"/>
  <c r="J12" i="4"/>
  <c r="J11" i="4"/>
  <c r="J10" i="4"/>
  <c r="J9" i="4"/>
  <c r="J8" i="4"/>
  <c r="Q38" i="4"/>
  <c r="Q57" i="4" s="1"/>
  <c r="Q33" i="4"/>
  <c r="Q55" i="4" s="1"/>
  <c r="Q30" i="4"/>
  <c r="Q53" i="4" s="1"/>
  <c r="L33" i="4"/>
  <c r="L55" i="4" s="1"/>
  <c r="L30" i="4"/>
  <c r="L53" i="4" s="1"/>
  <c r="J58" i="4"/>
  <c r="J57" i="4"/>
  <c r="J51" i="4"/>
  <c r="J49" i="4"/>
  <c r="J48" i="4"/>
  <c r="J47" i="4"/>
  <c r="J46" i="4"/>
  <c r="S58" i="4" l="1"/>
  <c r="S55" i="4"/>
  <c r="S53" i="4"/>
  <c r="S51" i="4"/>
  <c r="S50" i="4"/>
  <c r="S49" i="4"/>
  <c r="Q23" i="4"/>
  <c r="Q43" i="4" s="1"/>
  <c r="S57" i="4"/>
  <c r="Q56" i="4"/>
  <c r="S56" i="4" s="1"/>
  <c r="Q54" i="4"/>
  <c r="S54" i="4" s="1"/>
  <c r="Q52" i="4"/>
  <c r="S52" i="4" s="1"/>
  <c r="Q48" i="4"/>
  <c r="S48" i="4" s="1"/>
  <c r="Q47" i="4"/>
  <c r="S47" i="4" s="1"/>
  <c r="Q46" i="4"/>
  <c r="S46" i="4" s="1"/>
  <c r="S38" i="4"/>
  <c r="S37" i="4"/>
  <c r="S36" i="4"/>
  <c r="S33" i="4"/>
  <c r="S30" i="4"/>
  <c r="S27" i="4"/>
  <c r="Q40" i="4"/>
  <c r="Q35" i="4"/>
  <c r="S35" i="4" s="1"/>
  <c r="Q34" i="4"/>
  <c r="S34" i="4" s="1"/>
  <c r="Q32" i="4"/>
  <c r="S32" i="4" s="1"/>
  <c r="Q31" i="4"/>
  <c r="S31" i="4" s="1"/>
  <c r="Q29" i="4"/>
  <c r="S29" i="4" s="1"/>
  <c r="Q28" i="4"/>
  <c r="S28" i="4" s="1"/>
  <c r="Q26" i="4"/>
  <c r="S26" i="4" s="1"/>
  <c r="S20" i="4"/>
  <c r="N20" i="4"/>
  <c r="S18" i="4"/>
  <c r="S17" i="4"/>
  <c r="S15" i="4"/>
  <c r="S14" i="4"/>
  <c r="S13" i="4"/>
  <c r="S12" i="4"/>
  <c r="S11" i="4"/>
  <c r="S10" i="4"/>
  <c r="S9" i="4"/>
  <c r="S8" i="4"/>
  <c r="N58" i="4"/>
  <c r="N55" i="4"/>
  <c r="N53" i="4"/>
  <c r="N50" i="4"/>
  <c r="N49" i="4"/>
  <c r="L59" i="4"/>
  <c r="N59" i="4" s="1"/>
  <c r="N51" i="4"/>
  <c r="L48" i="4"/>
  <c r="N48" i="4" s="1"/>
  <c r="N37" i="4"/>
  <c r="N36" i="4"/>
  <c r="N33" i="4"/>
  <c r="N30" i="4"/>
  <c r="N27" i="4"/>
  <c r="L39" i="4"/>
  <c r="L60" i="4" s="1"/>
  <c r="L38" i="4"/>
  <c r="N38" i="4" s="1"/>
  <c r="L35" i="4"/>
  <c r="L54" i="4" s="1"/>
  <c r="N54" i="4" s="1"/>
  <c r="L34" i="4"/>
  <c r="L56" i="4" s="1"/>
  <c r="N56" i="4" s="1"/>
  <c r="L32" i="4"/>
  <c r="N32" i="4" s="1"/>
  <c r="L31" i="4"/>
  <c r="N31" i="4" s="1"/>
  <c r="L29" i="4"/>
  <c r="N29" i="4" s="1"/>
  <c r="L26" i="4"/>
  <c r="L46" i="4" s="1"/>
  <c r="N46" i="4" s="1"/>
  <c r="L28" i="4"/>
  <c r="L47" i="4" s="1"/>
  <c r="N47" i="4" s="1"/>
  <c r="N18" i="4"/>
  <c r="N17" i="4"/>
  <c r="N15" i="4"/>
  <c r="N14" i="4"/>
  <c r="N13" i="4"/>
  <c r="N12" i="4"/>
  <c r="N11" i="4"/>
  <c r="N10" i="4"/>
  <c r="N9" i="4"/>
  <c r="N8" i="4"/>
  <c r="H52" i="4"/>
  <c r="J52" i="4" s="1"/>
  <c r="H53" i="4"/>
  <c r="J53" i="4" s="1"/>
  <c r="H59" i="4"/>
  <c r="J59" i="4" s="1"/>
  <c r="H56" i="4"/>
  <c r="J56" i="4" s="1"/>
  <c r="H55" i="4"/>
  <c r="J55" i="4" s="1"/>
  <c r="H54" i="4"/>
  <c r="J54" i="4" s="1"/>
  <c r="H50" i="4"/>
  <c r="J50" i="4" s="1"/>
  <c r="D29" i="4"/>
  <c r="D10" i="4"/>
  <c r="I24" i="4"/>
  <c r="I44" i="4" s="1"/>
  <c r="H19" i="4"/>
  <c r="H18" i="4"/>
  <c r="H17" i="4"/>
  <c r="H15" i="4"/>
  <c r="H14" i="4"/>
  <c r="H13" i="4"/>
  <c r="H11" i="4"/>
  <c r="H10" i="4"/>
  <c r="H9" i="4"/>
  <c r="H8" i="4"/>
  <c r="D54" i="4"/>
  <c r="D52" i="4"/>
  <c r="D46" i="4"/>
  <c r="Y43" i="4" s="1"/>
  <c r="D33" i="4"/>
  <c r="D26" i="4"/>
  <c r="Y23" i="4" s="1"/>
  <c r="D25" i="4"/>
  <c r="D45" i="4" s="1"/>
  <c r="J24" i="4"/>
  <c r="J44" i="4" s="1"/>
  <c r="H24" i="4"/>
  <c r="H44" i="4" s="1"/>
  <c r="D14" i="4"/>
  <c r="D8" i="4"/>
  <c r="Y4" i="4" s="1"/>
  <c r="D41" i="4" l="1"/>
  <c r="L57" i="4"/>
  <c r="N57" i="4" s="1"/>
  <c r="S40" i="4"/>
  <c r="S23" i="4" s="1"/>
  <c r="Q61" i="4"/>
  <c r="S61" i="4" s="1"/>
  <c r="S43" i="4" s="1"/>
  <c r="N26" i="4"/>
  <c r="N34" i="4"/>
  <c r="N35" i="4"/>
  <c r="L52" i="4"/>
  <c r="N52" i="4" s="1"/>
  <c r="N28" i="4"/>
  <c r="S4" i="4"/>
  <c r="D39" i="4"/>
  <c r="D60" i="4"/>
  <c r="D19" i="4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2" i="1"/>
  <c r="J31" i="1"/>
  <c r="J30" i="1"/>
  <c r="J29" i="1"/>
  <c r="J28" i="1"/>
  <c r="J27" i="1"/>
  <c r="J26" i="1"/>
  <c r="J25" i="1"/>
  <c r="J24" i="1"/>
  <c r="J23" i="1"/>
  <c r="J22" i="1"/>
  <c r="J15" i="1"/>
  <c r="J14" i="1"/>
  <c r="J13" i="1"/>
  <c r="J12" i="1"/>
  <c r="J11" i="1"/>
  <c r="J10" i="1"/>
  <c r="J9" i="1"/>
  <c r="J8" i="1"/>
  <c r="J7" i="1"/>
  <c r="J19" i="4" l="1"/>
  <c r="H25" i="6"/>
  <c r="J19" i="5"/>
  <c r="K19" i="5" s="1"/>
  <c r="I25" i="6"/>
  <c r="J60" i="4"/>
  <c r="J60" i="5"/>
  <c r="K60" i="5" s="1"/>
  <c r="J39" i="4"/>
  <c r="J39" i="5"/>
  <c r="K39" i="5" s="1"/>
  <c r="N19" i="4"/>
  <c r="N4" i="4" s="1"/>
  <c r="N39" i="4"/>
  <c r="N23" i="4" s="1"/>
  <c r="N60" i="4"/>
  <c r="N43" i="4" s="1"/>
  <c r="F53" i="2"/>
  <c r="F51" i="2"/>
  <c r="F46" i="2"/>
  <c r="F33" i="2"/>
  <c r="F30" i="2"/>
  <c r="F27" i="2"/>
  <c r="F14" i="2"/>
  <c r="F11" i="2"/>
  <c r="F9" i="2"/>
  <c r="J20" i="1"/>
  <c r="J38" i="1" s="1"/>
  <c r="H20" i="1"/>
  <c r="H38" i="1" s="1"/>
  <c r="F38" i="2" l="1"/>
  <c r="F18" i="2"/>
  <c r="F57" i="2"/>
  <c r="D40" i="1"/>
  <c r="D21" i="1"/>
  <c r="D39" i="1" s="1"/>
  <c r="D48" i="1" l="1"/>
  <c r="D28" i="1"/>
  <c r="D12" i="1"/>
  <c r="D22" i="1" l="1"/>
  <c r="D25" i="1"/>
  <c r="D9" i="1"/>
  <c r="D46" i="1" l="1"/>
  <c r="D7" i="1"/>
  <c r="D16" i="1" l="1"/>
  <c r="J16" i="1" s="1"/>
  <c r="D53" i="1"/>
  <c r="J53" i="1" s="1"/>
  <c r="D33" i="1"/>
  <c r="J33" i="1" s="1"/>
</calcChain>
</file>

<file path=xl/sharedStrings.xml><?xml version="1.0" encoding="utf-8"?>
<sst xmlns="http://schemas.openxmlformats.org/spreadsheetml/2006/main" count="524" uniqueCount="88">
  <si>
    <t>Income Profile</t>
  </si>
  <si>
    <t>Statutory Max</t>
  </si>
  <si>
    <t>Equities:</t>
  </si>
  <si>
    <t>Bonds:</t>
  </si>
  <si>
    <t>Vector</t>
  </si>
  <si>
    <t>Vector Weight</t>
  </si>
  <si>
    <t>Cell D</t>
  </si>
  <si>
    <t>Exclusif 21</t>
  </si>
  <si>
    <t>Cell C</t>
  </si>
  <si>
    <t>KKR</t>
  </si>
  <si>
    <t>Alternatives:</t>
  </si>
  <si>
    <t>Cash:</t>
  </si>
  <si>
    <t>Conservative Profile</t>
  </si>
  <si>
    <t>Cimco</t>
  </si>
  <si>
    <t>Balanced Profile</t>
  </si>
  <si>
    <t>Active USD Long</t>
  </si>
  <si>
    <t>Shanti India</t>
  </si>
  <si>
    <t>Liontrust Asian</t>
  </si>
  <si>
    <t>Tactical</t>
  </si>
  <si>
    <t>Loan fund</t>
  </si>
  <si>
    <t>TFC Bonds</t>
  </si>
  <si>
    <t>Loan Fund</t>
  </si>
  <si>
    <t>TFC Small Caps</t>
  </si>
  <si>
    <t>Abrax</t>
  </si>
  <si>
    <t>Syquant</t>
  </si>
  <si>
    <t>Liontrust UK small caps</t>
  </si>
  <si>
    <t>Q1</t>
  </si>
  <si>
    <t>Allocations Q12016</t>
  </si>
  <si>
    <t>10 to 15%</t>
  </si>
  <si>
    <t>20 to 25%</t>
  </si>
  <si>
    <t xml:space="preserve">Q1 16 Allocation </t>
  </si>
  <si>
    <t>Q2</t>
  </si>
  <si>
    <t xml:space="preserve">Delta (Q3-Q2) </t>
  </si>
  <si>
    <t>Gold</t>
  </si>
  <si>
    <t>Q3 2016</t>
  </si>
  <si>
    <t xml:space="preserve">Q3 16 Allocation </t>
  </si>
  <si>
    <t>KKR NB C L/S TBC</t>
  </si>
  <si>
    <t>Q3</t>
  </si>
  <si>
    <t>Arcano Fund</t>
  </si>
  <si>
    <t>Commodities Fund</t>
  </si>
  <si>
    <t>12 Mos E®</t>
  </si>
  <si>
    <t>Return</t>
  </si>
  <si>
    <t>Estimated Downside Risk</t>
  </si>
  <si>
    <t>Average Correction</t>
  </si>
  <si>
    <t>Active ccy</t>
  </si>
  <si>
    <t>Risk=</t>
  </si>
  <si>
    <t xml:space="preserve"> </t>
  </si>
  <si>
    <t xml:space="preserve">Q4 16 Allocation </t>
  </si>
  <si>
    <t>Q4 2016</t>
  </si>
  <si>
    <t>Dharma Equities</t>
  </si>
  <si>
    <t>Dharma Bonds</t>
  </si>
  <si>
    <t>Rendement Euro Plus</t>
  </si>
  <si>
    <t>Muzinich Credit L/S</t>
  </si>
  <si>
    <t xml:space="preserve">Delta (Q4-Q3) </t>
  </si>
  <si>
    <t>Correl=1</t>
  </si>
  <si>
    <t>Gold (buy @1180)</t>
  </si>
  <si>
    <t>Blackwall</t>
  </si>
  <si>
    <t>Corr=1</t>
  </si>
  <si>
    <t>Bloomberg Scenario</t>
  </si>
  <si>
    <t>Risk</t>
  </si>
  <si>
    <t xml:space="preserve">Worst: </t>
  </si>
  <si>
    <t>EUR up 10% vs USD</t>
  </si>
  <si>
    <t>Impact:</t>
  </si>
  <si>
    <t>2nd Worst:</t>
  </si>
  <si>
    <t>Lehman Crisis</t>
  </si>
  <si>
    <t>3rd Worst</t>
  </si>
  <si>
    <t>Equities down 10%.</t>
  </si>
  <si>
    <t>Debt Ceiling Crisis 2011</t>
  </si>
  <si>
    <t>Q4</t>
  </si>
  <si>
    <t xml:space="preserve">Delta (Q4.1-Q4) </t>
  </si>
  <si>
    <t>Q4.1 2016</t>
  </si>
  <si>
    <t xml:space="preserve">Q4.1 16 Allocation </t>
  </si>
  <si>
    <t xml:space="preserve">Q1 17 Allocation </t>
  </si>
  <si>
    <t>Q1 2017</t>
  </si>
  <si>
    <t>Q4 16</t>
  </si>
  <si>
    <t xml:space="preserve">Delta (Q1-Q4) </t>
  </si>
  <si>
    <t>Muzinich Short Dur HY</t>
  </si>
  <si>
    <t xml:space="preserve">Gold </t>
  </si>
  <si>
    <t>CTA</t>
  </si>
  <si>
    <t>Doric</t>
  </si>
  <si>
    <t>Quadra</t>
  </si>
  <si>
    <t>Shanti Equities</t>
  </si>
  <si>
    <t>Liontrust Asia</t>
  </si>
  <si>
    <t>Hybrid Exane Basket</t>
  </si>
  <si>
    <t>Muzinich Global Tactical</t>
  </si>
  <si>
    <t>Pictet EM LCL</t>
  </si>
  <si>
    <t>Pictet LCL EM</t>
  </si>
  <si>
    <t>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</si>
</sst>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9" fontId="0" fillId="0" borderId="0" xfId="0" applyNumberFormat="1" applyBorder="1"/>
    <xf numFmtId="164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Fill="1" applyBorder="1"/>
    <xf numFmtId="0" fontId="2" fillId="2" borderId="9" xfId="0" applyFont="1" applyFill="1" applyBorder="1" applyAlignment="1">
      <alignment horizontal="center"/>
    </xf>
    <xf numFmtId="9" fontId="0" fillId="0" borderId="2" xfId="0" applyNumberFormat="1" applyBorder="1"/>
    <xf numFmtId="0" fontId="0" fillId="0" borderId="2" xfId="0" applyBorder="1"/>
    <xf numFmtId="9" fontId="0" fillId="0" borderId="7" xfId="0" applyNumberFormat="1" applyBorder="1"/>
    <xf numFmtId="0" fontId="2" fillId="0" borderId="9" xfId="0" applyFont="1" applyBorder="1"/>
    <xf numFmtId="9" fontId="0" fillId="0" borderId="16" xfId="0" applyNumberFormat="1" applyBorder="1"/>
    <xf numFmtId="9" fontId="0" fillId="0" borderId="17" xfId="0" applyNumberFormat="1" applyBorder="1"/>
    <xf numFmtId="9" fontId="0" fillId="0" borderId="18" xfId="0" applyNumberFormat="1" applyBorder="1"/>
    <xf numFmtId="0" fontId="0" fillId="0" borderId="16" xfId="0" applyBorder="1"/>
    <xf numFmtId="0" fontId="0" fillId="0" borderId="16" xfId="0" applyFill="1" applyBorder="1"/>
    <xf numFmtId="0" fontId="0" fillId="0" borderId="17" xfId="0" applyBorder="1"/>
    <xf numFmtId="0" fontId="0" fillId="0" borderId="17" xfId="0" applyFill="1" applyBorder="1"/>
    <xf numFmtId="0" fontId="0" fillId="0" borderId="18" xfId="0" applyBorder="1"/>
    <xf numFmtId="0" fontId="0" fillId="0" borderId="15" xfId="0" applyBorder="1"/>
    <xf numFmtId="0" fontId="0" fillId="0" borderId="0" xfId="0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1" fillId="2" borderId="10" xfId="0" applyFont="1" applyFill="1" applyBorder="1"/>
    <xf numFmtId="0" fontId="1" fillId="2" borderId="11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2" fillId="0" borderId="14" xfId="0" applyFont="1" applyBorder="1"/>
    <xf numFmtId="0" fontId="2" fillId="0" borderId="12" xfId="0" applyFont="1" applyBorder="1"/>
    <xf numFmtId="0" fontId="1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9" fontId="2" fillId="0" borderId="9" xfId="0" applyNumberFormat="1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/>
    <xf numFmtId="0" fontId="2" fillId="0" borderId="3" xfId="0" applyFont="1" applyBorder="1" applyAlignment="1">
      <alignment horizontal="center"/>
    </xf>
    <xf numFmtId="9" fontId="2" fillId="2" borderId="9" xfId="0" applyNumberFormat="1" applyFont="1" applyFill="1" applyBorder="1" applyAlignment="1">
      <alignment horizontal="center"/>
    </xf>
    <xf numFmtId="9" fontId="3" fillId="2" borderId="11" xfId="0" applyNumberFormat="1" applyFont="1" applyFill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9" fontId="2" fillId="0" borderId="12" xfId="0" applyNumberFormat="1" applyFont="1" applyBorder="1" applyAlignment="1">
      <alignment horizontal="center"/>
    </xf>
    <xf numFmtId="9" fontId="2" fillId="0" borderId="13" xfId="0" applyNumberFormat="1" applyFont="1" applyBorder="1" applyAlignment="1">
      <alignment horizontal="center"/>
    </xf>
    <xf numFmtId="9" fontId="2" fillId="0" borderId="14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9" fontId="3" fillId="0" borderId="12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9" fontId="2" fillId="0" borderId="26" xfId="0" applyNumberFormat="1" applyFont="1" applyBorder="1" applyAlignment="1">
      <alignment horizontal="center"/>
    </xf>
    <xf numFmtId="9" fontId="2" fillId="0" borderId="27" xfId="0" applyNumberFormat="1" applyFont="1" applyBorder="1" applyAlignment="1">
      <alignment horizontal="center"/>
    </xf>
    <xf numFmtId="9" fontId="2" fillId="0" borderId="26" xfId="0" applyNumberFormat="1" applyFont="1" applyFill="1" applyBorder="1" applyAlignment="1">
      <alignment horizontal="center"/>
    </xf>
    <xf numFmtId="9" fontId="2" fillId="0" borderId="24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9" fontId="0" fillId="0" borderId="2" xfId="0" applyNumberFormat="1" applyBorder="1" applyAlignment="1">
      <alignment horizontal="left"/>
    </xf>
    <xf numFmtId="9" fontId="0" fillId="0" borderId="18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9" fontId="2" fillId="0" borderId="4" xfId="0" applyNumberFormat="1" applyFont="1" applyBorder="1" applyAlignment="1">
      <alignment horizontal="center"/>
    </xf>
    <xf numFmtId="0" fontId="0" fillId="0" borderId="28" xfId="0" applyFill="1" applyBorder="1"/>
    <xf numFmtId="9" fontId="0" fillId="0" borderId="29" xfId="0" applyNumberForma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2" fillId="0" borderId="22" xfId="0" applyNumberFormat="1" applyFont="1" applyBorder="1" applyAlignment="1">
      <alignment horizontal="center"/>
    </xf>
    <xf numFmtId="9" fontId="2" fillId="0" borderId="23" xfId="0" applyNumberFormat="1" applyFont="1" applyBorder="1" applyAlignment="1">
      <alignment horizontal="center"/>
    </xf>
    <xf numFmtId="9" fontId="2" fillId="0" borderId="6" xfId="0" applyNumberFormat="1" applyFont="1" applyBorder="1" applyAlignment="1">
      <alignment horizontal="center"/>
    </xf>
    <xf numFmtId="9" fontId="2" fillId="0" borderId="10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9" fontId="0" fillId="0" borderId="5" xfId="0" applyNumberFormat="1" applyBorder="1" applyAlignment="1">
      <alignment horizontal="center"/>
    </xf>
    <xf numFmtId="10" fontId="0" fillId="0" borderId="0" xfId="0" applyNumberFormat="1"/>
    <xf numFmtId="9" fontId="0" fillId="0" borderId="4" xfId="0" applyNumberFormat="1" applyBorder="1"/>
    <xf numFmtId="0" fontId="1" fillId="2" borderId="2" xfId="0" applyFont="1" applyFill="1" applyBorder="1"/>
    <xf numFmtId="10" fontId="1" fillId="2" borderId="3" xfId="0" applyNumberFormat="1" applyFont="1" applyFill="1" applyBorder="1"/>
    <xf numFmtId="164" fontId="2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10" fontId="0" fillId="0" borderId="10" xfId="0" applyNumberFormat="1" applyBorder="1"/>
    <xf numFmtId="9" fontId="0" fillId="0" borderId="10" xfId="0" applyNumberFormat="1" applyBorder="1"/>
    <xf numFmtId="0" fontId="4" fillId="0" borderId="0" xfId="0" applyFont="1"/>
    <xf numFmtId="0" fontId="4" fillId="0" borderId="0" xfId="0" applyFont="1" applyAlignment="1">
      <alignment horizontal="center"/>
    </xf>
    <xf numFmtId="10" fontId="0" fillId="0" borderId="5" xfId="0" applyNumberFormat="1" applyBorder="1"/>
    <xf numFmtId="10" fontId="0" fillId="0" borderId="8" xfId="0" applyNumberFormat="1" applyBorder="1"/>
    <xf numFmtId="10" fontId="0" fillId="0" borderId="11" xfId="0" applyNumberFormat="1" applyBorder="1"/>
    <xf numFmtId="9" fontId="3" fillId="2" borderId="15" xfId="0" applyNumberFormat="1" applyFont="1" applyFill="1" applyBorder="1" applyAlignment="1">
      <alignment horizontal="center"/>
    </xf>
    <xf numFmtId="0" fontId="0" fillId="0" borderId="28" xfId="0" applyBorder="1"/>
    <xf numFmtId="9" fontId="5" fillId="0" borderId="12" xfId="0" applyNumberFormat="1" applyFont="1" applyBorder="1" applyAlignment="1">
      <alignment horizontal="center"/>
    </xf>
    <xf numFmtId="10" fontId="0" fillId="0" borderId="4" xfId="0" applyNumberFormat="1" applyBorder="1"/>
    <xf numFmtId="9" fontId="5" fillId="0" borderId="9" xfId="0" applyNumberFormat="1" applyFont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10" fontId="1" fillId="2" borderId="8" xfId="0" applyNumberFormat="1" applyFont="1" applyFill="1" applyBorder="1"/>
    <xf numFmtId="0" fontId="0" fillId="0" borderId="24" xfId="0" applyFill="1" applyBorder="1"/>
    <xf numFmtId="9" fontId="2" fillId="0" borderId="25" xfId="0" applyNumberFormat="1" applyFont="1" applyBorder="1" applyAlignment="1">
      <alignment horizontal="center"/>
    </xf>
    <xf numFmtId="0" fontId="0" fillId="0" borderId="28" xfId="0" applyBorder="1" applyAlignment="1">
      <alignment horizontal="left"/>
    </xf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10" fontId="0" fillId="0" borderId="6" xfId="0" applyNumberFormat="1" applyBorder="1"/>
    <xf numFmtId="9" fontId="3" fillId="2" borderId="0" xfId="0" applyNumberFormat="1" applyFont="1" applyFill="1" applyBorder="1" applyAlignment="1">
      <alignment horizontal="center"/>
    </xf>
    <xf numFmtId="10" fontId="1" fillId="2" borderId="5" xfId="0" applyNumberFormat="1" applyFont="1" applyFill="1" applyBorder="1"/>
    <xf numFmtId="0" fontId="0" fillId="0" borderId="1" xfId="0" applyBorder="1"/>
    <xf numFmtId="10" fontId="0" fillId="0" borderId="3" xfId="0" applyNumberFormat="1" applyBorder="1"/>
    <xf numFmtId="9" fontId="0" fillId="0" borderId="0" xfId="0" applyNumberFormat="1"/>
    <xf numFmtId="10" fontId="0" fillId="0" borderId="0" xfId="0" applyNumberFormat="1" applyBorder="1"/>
    <xf numFmtId="0" fontId="2" fillId="6" borderId="1" xfId="0" applyFont="1" applyFill="1" applyBorder="1"/>
    <xf numFmtId="0" fontId="2" fillId="6" borderId="3" xfId="0" applyFont="1" applyFill="1" applyBorder="1"/>
    <xf numFmtId="0" fontId="2" fillId="6" borderId="4" xfId="0" applyFont="1" applyFill="1" applyBorder="1"/>
    <xf numFmtId="0" fontId="2" fillId="6" borderId="5" xfId="0" applyFont="1" applyFill="1" applyBorder="1"/>
    <xf numFmtId="0" fontId="2" fillId="6" borderId="6" xfId="0" applyFont="1" applyFill="1" applyBorder="1"/>
    <xf numFmtId="10" fontId="1" fillId="6" borderId="5" xfId="0" applyNumberFormat="1" applyFont="1" applyFill="1" applyBorder="1"/>
    <xf numFmtId="0" fontId="2" fillId="6" borderId="8" xfId="0" applyFont="1" applyFill="1" applyBorder="1"/>
    <xf numFmtId="0" fontId="6" fillId="6" borderId="3" xfId="0" applyFont="1" applyFill="1" applyBorder="1"/>
    <xf numFmtId="0" fontId="6" fillId="6" borderId="5" xfId="0" applyFont="1" applyFill="1" applyBorder="1"/>
    <xf numFmtId="10" fontId="1" fillId="6" borderId="8" xfId="0" applyNumberFormat="1" applyFont="1" applyFill="1" applyBorder="1"/>
    <xf numFmtId="0" fontId="0" fillId="0" borderId="30" xfId="0" applyBorder="1"/>
    <xf numFmtId="0" fontId="2" fillId="7" borderId="1" xfId="0" applyFont="1" applyFill="1" applyBorder="1" applyAlignment="1">
      <alignment horizontal="center"/>
    </xf>
    <xf numFmtId="9" fontId="2" fillId="7" borderId="3" xfId="0" applyNumberFormat="1" applyFont="1" applyFill="1" applyBorder="1" applyAlignment="1">
      <alignment horizontal="center"/>
    </xf>
    <xf numFmtId="0" fontId="0" fillId="0" borderId="3" xfId="0" applyBorder="1"/>
    <xf numFmtId="9" fontId="0" fillId="0" borderId="6" xfId="0" applyNumberFormat="1" applyBorder="1"/>
    <xf numFmtId="10" fontId="2" fillId="0" borderId="23" xfId="0" applyNumberFormat="1" applyFont="1" applyBorder="1" applyAlignment="1">
      <alignment horizontal="center"/>
    </xf>
    <xf numFmtId="9" fontId="7" fillId="0" borderId="23" xfId="0" applyNumberFormat="1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9" fontId="0" fillId="0" borderId="32" xfId="0" applyNumberFormat="1" applyBorder="1"/>
    <xf numFmtId="0" fontId="0" fillId="0" borderId="33" xfId="0" applyBorder="1"/>
    <xf numFmtId="10" fontId="0" fillId="0" borderId="3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Allocation%20Q3%2016%20Nu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2 16"/>
      <sheetName val="Q3 16"/>
      <sheetName val="Q1 16"/>
      <sheetName val="Sheet3"/>
    </sheetNames>
    <sheetDataSet>
      <sheetData sheetId="0">
        <row r="7">
          <cell r="I7">
            <v>0.13</v>
          </cell>
        </row>
        <row r="8">
          <cell r="I8">
            <v>0.05</v>
          </cell>
        </row>
        <row r="9">
          <cell r="I9">
            <v>0.37</v>
          </cell>
        </row>
        <row r="10">
          <cell r="I10">
            <v>0.08</v>
          </cell>
        </row>
        <row r="11">
          <cell r="I11">
            <v>0.1</v>
          </cell>
        </row>
        <row r="12">
          <cell r="I12">
            <v>0</v>
          </cell>
        </row>
        <row r="13">
          <cell r="I13">
            <v>7.0000000000000007E-2</v>
          </cell>
        </row>
        <row r="14">
          <cell r="I14">
            <v>0.03</v>
          </cell>
        </row>
        <row r="15">
          <cell r="I15">
            <v>0</v>
          </cell>
        </row>
        <row r="16">
          <cell r="I16">
            <v>0.17</v>
          </cell>
        </row>
        <row r="40">
          <cell r="I40">
            <v>0.42</v>
          </cell>
        </row>
        <row r="41">
          <cell r="I41">
            <v>0.06</v>
          </cell>
        </row>
        <row r="42">
          <cell r="I42">
            <v>0.04</v>
          </cell>
        </row>
        <row r="43">
          <cell r="I43">
            <v>0.04</v>
          </cell>
        </row>
        <row r="44">
          <cell r="I44">
            <v>0.03</v>
          </cell>
        </row>
        <row r="45">
          <cell r="I45">
            <v>0.04</v>
          </cell>
        </row>
        <row r="46">
          <cell r="I46">
            <v>0.15</v>
          </cell>
        </row>
        <row r="47">
          <cell r="I47">
            <v>0</v>
          </cell>
        </row>
        <row r="48">
          <cell r="I48">
            <v>0.05</v>
          </cell>
        </row>
        <row r="49">
          <cell r="I49">
            <v>0</v>
          </cell>
        </row>
        <row r="50">
          <cell r="I50">
            <v>0.04</v>
          </cell>
        </row>
        <row r="52">
          <cell r="I52">
            <v>0.05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53"/>
  <sheetViews>
    <sheetView topLeftCell="A19" workbookViewId="0">
      <selection activeCell="P22" sqref="P22"/>
    </sheetView>
  </sheetViews>
  <sheetFormatPr defaultRowHeight="15" x14ac:dyDescent="0.25"/>
  <cols>
    <col min="1" max="1" width="3" customWidth="1"/>
    <col min="2" max="2" width="12" customWidth="1"/>
    <col min="3" max="3" width="10.140625" bestFit="1" customWidth="1"/>
    <col min="5" max="5" width="18.5703125" customWidth="1"/>
    <col min="6" max="6" width="14" bestFit="1" customWidth="1"/>
    <col min="7" max="7" width="15.42578125" bestFit="1" customWidth="1"/>
    <col min="10" max="10" width="13.7109375" bestFit="1" customWidth="1"/>
  </cols>
  <sheetData>
    <row r="1" spans="2:10" ht="15.75" thickBot="1" x14ac:dyDescent="0.3"/>
    <row r="2" spans="2:10" ht="19.5" thickBot="1" x14ac:dyDescent="0.35">
      <c r="B2" s="51" t="s">
        <v>35</v>
      </c>
      <c r="C2" s="52"/>
    </row>
    <row r="3" spans="2:10" ht="15.75" thickBot="1" x14ac:dyDescent="0.3"/>
    <row r="4" spans="2:10" ht="19.5" thickBot="1" x14ac:dyDescent="0.35">
      <c r="B4" s="63" t="s">
        <v>0</v>
      </c>
      <c r="C4" s="64"/>
      <c r="D4" s="64"/>
      <c r="E4" s="64"/>
      <c r="F4" s="64"/>
      <c r="G4" s="65"/>
      <c r="H4" s="33"/>
      <c r="I4" s="33"/>
      <c r="J4" s="33"/>
    </row>
    <row r="5" spans="2:10" ht="15.75" thickBot="1" x14ac:dyDescent="0.3">
      <c r="B5" s="66"/>
      <c r="C5" s="67"/>
      <c r="D5" s="67"/>
      <c r="E5" s="67"/>
      <c r="F5" s="67"/>
      <c r="G5" s="68"/>
      <c r="H5" s="106" t="s">
        <v>26</v>
      </c>
      <c r="I5" s="106" t="s">
        <v>31</v>
      </c>
      <c r="J5" s="107" t="s">
        <v>32</v>
      </c>
    </row>
    <row r="6" spans="2:10" ht="15.75" thickBot="1" x14ac:dyDescent="0.3">
      <c r="B6" s="48" t="s">
        <v>1</v>
      </c>
      <c r="C6" s="49"/>
      <c r="D6" s="19" t="s">
        <v>34</v>
      </c>
      <c r="E6" s="19" t="s">
        <v>4</v>
      </c>
      <c r="F6" s="50" t="s">
        <v>5</v>
      </c>
      <c r="G6" s="50" t="s">
        <v>15</v>
      </c>
      <c r="H6" s="33"/>
      <c r="I6" s="33"/>
      <c r="J6" s="33"/>
    </row>
    <row r="7" spans="2:10" ht="15.75" thickBot="1" x14ac:dyDescent="0.3">
      <c r="B7" s="80" t="s">
        <v>2</v>
      </c>
      <c r="C7" s="85">
        <v>0.2</v>
      </c>
      <c r="D7" s="75">
        <f>F7+F8</f>
        <v>0.16</v>
      </c>
      <c r="E7" s="112" t="s">
        <v>6</v>
      </c>
      <c r="F7" s="34">
        <v>0.1</v>
      </c>
      <c r="G7" s="35"/>
      <c r="H7" s="91">
        <v>0.15</v>
      </c>
      <c r="I7" s="123">
        <v>0.13</v>
      </c>
      <c r="J7" s="96">
        <f>F7-I7</f>
        <v>-0.03</v>
      </c>
    </row>
    <row r="8" spans="2:10" ht="15.75" thickBot="1" x14ac:dyDescent="0.3">
      <c r="B8" s="81"/>
      <c r="C8" s="77"/>
      <c r="D8" s="88"/>
      <c r="E8" s="113" t="s">
        <v>7</v>
      </c>
      <c r="F8" s="39">
        <v>0.06</v>
      </c>
      <c r="G8" s="38"/>
      <c r="H8" s="101">
        <v>0.05</v>
      </c>
      <c r="I8" s="124">
        <v>0.05</v>
      </c>
      <c r="J8" s="91">
        <f t="shared" ref="J8:J15" si="0">F8-I8</f>
        <v>9.999999999999995E-3</v>
      </c>
    </row>
    <row r="9" spans="2:10" ht="15.75" thickBot="1" x14ac:dyDescent="0.3">
      <c r="B9" s="80" t="s">
        <v>3</v>
      </c>
      <c r="C9" s="86">
        <v>1</v>
      </c>
      <c r="D9" s="75">
        <f>F9+F10+F11</f>
        <v>0.52</v>
      </c>
      <c r="E9" s="114" t="s">
        <v>8</v>
      </c>
      <c r="F9" s="34">
        <v>0.37</v>
      </c>
      <c r="G9" s="35"/>
      <c r="H9" s="91">
        <v>0.4</v>
      </c>
      <c r="I9" s="123">
        <v>0.37</v>
      </c>
      <c r="J9" s="91">
        <f t="shared" si="0"/>
        <v>0</v>
      </c>
    </row>
    <row r="10" spans="2:10" ht="15.75" thickBot="1" x14ac:dyDescent="0.3">
      <c r="B10" s="82"/>
      <c r="C10" s="79"/>
      <c r="D10" s="89"/>
      <c r="E10" s="115" t="s">
        <v>36</v>
      </c>
      <c r="F10" s="44">
        <v>0.05</v>
      </c>
      <c r="G10" s="43"/>
      <c r="H10" s="100">
        <v>0.08</v>
      </c>
      <c r="I10" s="125">
        <v>0.08</v>
      </c>
      <c r="J10" s="96">
        <f t="shared" si="0"/>
        <v>-0.03</v>
      </c>
    </row>
    <row r="11" spans="2:10" ht="15.75" thickBot="1" x14ac:dyDescent="0.3">
      <c r="B11" s="81"/>
      <c r="C11" s="78"/>
      <c r="D11" s="88"/>
      <c r="E11" s="116" t="s">
        <v>20</v>
      </c>
      <c r="F11" s="37">
        <v>0.1</v>
      </c>
      <c r="G11" s="38"/>
      <c r="H11" s="93">
        <v>7.0000000000000007E-2</v>
      </c>
      <c r="I11" s="126">
        <v>0.1</v>
      </c>
      <c r="J11" s="96">
        <f t="shared" si="0"/>
        <v>0</v>
      </c>
    </row>
    <row r="12" spans="2:10" ht="15.75" thickBot="1" x14ac:dyDescent="0.3">
      <c r="B12" s="80" t="s">
        <v>10</v>
      </c>
      <c r="C12" s="86">
        <v>0.15</v>
      </c>
      <c r="D12" s="75">
        <f>SUM(F12:F15)</f>
        <v>0.17</v>
      </c>
      <c r="E12" s="117" t="s">
        <v>33</v>
      </c>
      <c r="F12" s="45">
        <v>7.0000000000000007E-2</v>
      </c>
      <c r="G12" s="35"/>
      <c r="H12" s="92">
        <v>0</v>
      </c>
      <c r="I12" s="120">
        <v>0</v>
      </c>
      <c r="J12" s="91">
        <f t="shared" si="0"/>
        <v>7.0000000000000007E-2</v>
      </c>
    </row>
    <row r="13" spans="2:10" ht="15.75" thickBot="1" x14ac:dyDescent="0.3">
      <c r="B13" s="82"/>
      <c r="C13" s="79"/>
      <c r="D13" s="97"/>
      <c r="E13" s="115" t="s">
        <v>18</v>
      </c>
      <c r="F13" s="44">
        <v>7.0000000000000007E-2</v>
      </c>
      <c r="G13" s="43"/>
      <c r="H13" s="100">
        <v>7.0000000000000007E-2</v>
      </c>
      <c r="I13" s="125">
        <v>7.0000000000000007E-2</v>
      </c>
      <c r="J13" s="91">
        <f t="shared" si="0"/>
        <v>0</v>
      </c>
    </row>
    <row r="14" spans="2:10" ht="15.75" thickBot="1" x14ac:dyDescent="0.3">
      <c r="B14" s="82"/>
      <c r="C14" s="79"/>
      <c r="D14" s="98"/>
      <c r="E14" s="118" t="s">
        <v>23</v>
      </c>
      <c r="F14" s="44">
        <v>0.03</v>
      </c>
      <c r="G14" s="43"/>
      <c r="H14" s="100">
        <v>0.03</v>
      </c>
      <c r="I14" s="125">
        <v>0.03</v>
      </c>
      <c r="J14" s="91">
        <f t="shared" si="0"/>
        <v>0</v>
      </c>
    </row>
    <row r="15" spans="2:10" ht="15.75" thickBot="1" x14ac:dyDescent="0.3">
      <c r="B15" s="81"/>
      <c r="C15" s="78"/>
      <c r="D15" s="99"/>
      <c r="E15" s="119" t="s">
        <v>24</v>
      </c>
      <c r="F15" s="39">
        <v>0</v>
      </c>
      <c r="G15" s="38"/>
      <c r="H15" s="92">
        <v>0</v>
      </c>
      <c r="I15" s="120">
        <v>0</v>
      </c>
      <c r="J15" s="91">
        <f t="shared" si="0"/>
        <v>0</v>
      </c>
    </row>
    <row r="16" spans="2:10" ht="15.75" thickBot="1" x14ac:dyDescent="0.3">
      <c r="B16" s="80" t="s">
        <v>11</v>
      </c>
      <c r="C16" s="86">
        <v>1</v>
      </c>
      <c r="D16" s="90">
        <f>100%-D12-D9-D7</f>
        <v>0.14999999999999994</v>
      </c>
      <c r="E16" s="47"/>
      <c r="F16" s="46"/>
      <c r="G16" s="105">
        <v>0.1</v>
      </c>
      <c r="H16" s="75">
        <v>0.15</v>
      </c>
      <c r="I16" s="127">
        <v>0.17</v>
      </c>
      <c r="J16" s="128">
        <f>D16-I16</f>
        <v>-2.0000000000000073E-2</v>
      </c>
    </row>
    <row r="17" spans="2:10" x14ac:dyDescent="0.25">
      <c r="H17" s="94"/>
      <c r="I17" s="94"/>
      <c r="J17" s="94"/>
    </row>
    <row r="18" spans="2:10" ht="15.75" thickBot="1" x14ac:dyDescent="0.3">
      <c r="H18" s="94"/>
      <c r="I18" s="94"/>
      <c r="J18" s="94"/>
    </row>
    <row r="19" spans="2:10" ht="19.5" thickBot="1" x14ac:dyDescent="0.35">
      <c r="B19" s="57" t="s">
        <v>12</v>
      </c>
      <c r="C19" s="58"/>
      <c r="D19" s="58"/>
      <c r="E19" s="58"/>
      <c r="F19" s="58"/>
      <c r="G19" s="59"/>
      <c r="H19" s="95"/>
      <c r="I19" s="95"/>
      <c r="J19" s="95"/>
    </row>
    <row r="20" spans="2:10" ht="15.75" thickBot="1" x14ac:dyDescent="0.3">
      <c r="B20" s="60"/>
      <c r="C20" s="61"/>
      <c r="D20" s="61"/>
      <c r="E20" s="61"/>
      <c r="F20" s="61"/>
      <c r="G20" s="62"/>
      <c r="H20" s="108" t="str">
        <f>H5</f>
        <v>Q1</v>
      </c>
      <c r="I20" s="106" t="s">
        <v>31</v>
      </c>
      <c r="J20" s="109" t="str">
        <f>J5</f>
        <v xml:space="preserve">Delta (Q3-Q2) </v>
      </c>
    </row>
    <row r="21" spans="2:10" ht="15.75" thickBot="1" x14ac:dyDescent="0.3">
      <c r="B21" s="48" t="s">
        <v>1</v>
      </c>
      <c r="C21" s="49"/>
      <c r="D21" s="19" t="str">
        <f>D6</f>
        <v>Q3 2016</v>
      </c>
      <c r="E21" s="19" t="s">
        <v>4</v>
      </c>
      <c r="F21" s="50" t="s">
        <v>5</v>
      </c>
      <c r="G21" s="50" t="s">
        <v>15</v>
      </c>
      <c r="H21" s="95"/>
      <c r="I21" s="33"/>
      <c r="J21" s="95"/>
    </row>
    <row r="22" spans="2:10" ht="15.75" thickBot="1" x14ac:dyDescent="0.3">
      <c r="B22" s="23" t="s">
        <v>2</v>
      </c>
      <c r="C22" s="85">
        <v>0.3</v>
      </c>
      <c r="D22" s="75">
        <f>F22+F24+F23</f>
        <v>0.28000000000000003</v>
      </c>
      <c r="E22" s="20" t="s">
        <v>6</v>
      </c>
      <c r="F22" s="34">
        <v>0.2</v>
      </c>
      <c r="G22" s="41"/>
      <c r="H22" s="91">
        <v>0.22</v>
      </c>
      <c r="I22" s="91">
        <v>0.2</v>
      </c>
      <c r="J22" s="91">
        <f>F22-I22</f>
        <v>0</v>
      </c>
    </row>
    <row r="23" spans="2:10" ht="15.75" thickBot="1" x14ac:dyDescent="0.3">
      <c r="B23" s="53"/>
      <c r="C23" s="76"/>
      <c r="D23" s="103"/>
      <c r="E23" s="29" t="s">
        <v>22</v>
      </c>
      <c r="F23" s="44">
        <v>0.03</v>
      </c>
      <c r="G23" s="42"/>
      <c r="H23" s="100">
        <v>0.03</v>
      </c>
      <c r="I23" s="101">
        <v>0.03</v>
      </c>
      <c r="J23" s="91">
        <f t="shared" ref="J23:J32" si="1">F23-I23</f>
        <v>0</v>
      </c>
    </row>
    <row r="24" spans="2:10" ht="15.75" thickBot="1" x14ac:dyDescent="0.3">
      <c r="B24" s="54"/>
      <c r="C24" s="77"/>
      <c r="D24" s="81"/>
      <c r="E24" s="22" t="s">
        <v>7</v>
      </c>
      <c r="F24" s="37">
        <v>0.05</v>
      </c>
      <c r="G24" s="36"/>
      <c r="H24" s="92">
        <v>0.05</v>
      </c>
      <c r="I24" s="91">
        <v>0.05</v>
      </c>
      <c r="J24" s="91">
        <f t="shared" si="1"/>
        <v>0</v>
      </c>
    </row>
    <row r="25" spans="2:10" ht="15.75" thickBot="1" x14ac:dyDescent="0.3">
      <c r="B25" s="23" t="s">
        <v>3</v>
      </c>
      <c r="C25" s="86">
        <v>0.8</v>
      </c>
      <c r="D25" s="75">
        <f>F25+F26+F27</f>
        <v>0.4</v>
      </c>
      <c r="E25" s="21" t="s">
        <v>8</v>
      </c>
      <c r="F25" s="34">
        <v>0.28000000000000003</v>
      </c>
      <c r="G25" s="41"/>
      <c r="H25" s="91">
        <v>0.3</v>
      </c>
      <c r="I25" s="100">
        <v>0.28000000000000003</v>
      </c>
      <c r="J25" s="91">
        <f t="shared" si="1"/>
        <v>0</v>
      </c>
    </row>
    <row r="26" spans="2:10" ht="15.75" thickBot="1" x14ac:dyDescent="0.3">
      <c r="B26" s="53"/>
      <c r="C26" s="79"/>
      <c r="D26" s="104"/>
      <c r="E26" s="115" t="s">
        <v>36</v>
      </c>
      <c r="F26" s="44">
        <v>0.05</v>
      </c>
      <c r="G26" s="42"/>
      <c r="H26" s="100">
        <v>7.0000000000000007E-2</v>
      </c>
      <c r="I26" s="93">
        <v>7.0000000000000007E-2</v>
      </c>
      <c r="J26" s="128">
        <f t="shared" si="1"/>
        <v>-2.0000000000000004E-2</v>
      </c>
    </row>
    <row r="27" spans="2:10" ht="15.75" thickBot="1" x14ac:dyDescent="0.3">
      <c r="B27" s="54"/>
      <c r="C27" s="78"/>
      <c r="D27" s="81"/>
      <c r="E27" s="7" t="s">
        <v>20</v>
      </c>
      <c r="F27" s="37">
        <v>7.0000000000000007E-2</v>
      </c>
      <c r="G27" s="36"/>
      <c r="H27" s="93">
        <v>0.05</v>
      </c>
      <c r="I27" s="92">
        <v>7.0000000000000007E-2</v>
      </c>
      <c r="J27" s="91">
        <f t="shared" si="1"/>
        <v>0</v>
      </c>
    </row>
    <row r="28" spans="2:10" ht="15.75" thickBot="1" x14ac:dyDescent="0.3">
      <c r="B28" s="56" t="s">
        <v>10</v>
      </c>
      <c r="C28" s="86">
        <v>0.25</v>
      </c>
      <c r="D28" s="75">
        <f>SUM(F28:F32)</f>
        <v>0.23</v>
      </c>
      <c r="E28" s="117" t="s">
        <v>33</v>
      </c>
      <c r="F28" s="45">
        <v>0.05</v>
      </c>
      <c r="G28" s="41"/>
      <c r="H28" s="92">
        <v>0</v>
      </c>
      <c r="I28" s="100">
        <v>0</v>
      </c>
      <c r="J28" s="91">
        <f t="shared" si="1"/>
        <v>0.05</v>
      </c>
    </row>
    <row r="29" spans="2:10" ht="15.75" thickBot="1" x14ac:dyDescent="0.3">
      <c r="B29" s="83"/>
      <c r="C29" s="84"/>
      <c r="D29" s="82"/>
      <c r="E29" s="29" t="s">
        <v>18</v>
      </c>
      <c r="F29" s="44">
        <v>0.09</v>
      </c>
      <c r="G29" s="42"/>
      <c r="H29" s="100">
        <v>0.03</v>
      </c>
      <c r="I29" s="100">
        <v>7.0000000000000007E-2</v>
      </c>
      <c r="J29" s="91">
        <f t="shared" si="1"/>
        <v>1.999999999999999E-2</v>
      </c>
    </row>
    <row r="30" spans="2:10" ht="15.75" thickBot="1" x14ac:dyDescent="0.3">
      <c r="B30" s="53"/>
      <c r="C30" s="79"/>
      <c r="D30" s="98"/>
      <c r="E30" s="30" t="s">
        <v>23</v>
      </c>
      <c r="F30" s="44">
        <v>0.05</v>
      </c>
      <c r="G30" s="42"/>
      <c r="H30" s="100">
        <v>0.05</v>
      </c>
      <c r="I30" s="92">
        <v>0.05</v>
      </c>
      <c r="J30" s="91">
        <f t="shared" si="1"/>
        <v>0</v>
      </c>
    </row>
    <row r="31" spans="2:10" ht="15.75" thickBot="1" x14ac:dyDescent="0.3">
      <c r="B31" s="53"/>
      <c r="C31" s="79"/>
      <c r="D31" s="98"/>
      <c r="E31" s="30" t="s">
        <v>24</v>
      </c>
      <c r="F31" s="44">
        <v>0</v>
      </c>
      <c r="G31" s="42"/>
      <c r="H31" s="100">
        <v>0</v>
      </c>
      <c r="I31" s="75">
        <v>0</v>
      </c>
      <c r="J31" s="91">
        <f t="shared" si="1"/>
        <v>0</v>
      </c>
    </row>
    <row r="32" spans="2:10" ht="15.75" thickBot="1" x14ac:dyDescent="0.3">
      <c r="B32" s="54"/>
      <c r="C32" s="78"/>
      <c r="D32" s="81"/>
      <c r="E32" s="31" t="s">
        <v>13</v>
      </c>
      <c r="F32" s="39">
        <v>0.04</v>
      </c>
      <c r="G32" s="36"/>
      <c r="H32" s="92">
        <v>0.04</v>
      </c>
      <c r="I32" s="92">
        <v>0.04</v>
      </c>
      <c r="J32" s="91">
        <f t="shared" si="1"/>
        <v>0</v>
      </c>
    </row>
    <row r="33" spans="2:10" ht="15.75" thickBot="1" x14ac:dyDescent="0.3">
      <c r="B33" s="55" t="s">
        <v>11</v>
      </c>
      <c r="C33" s="86">
        <v>1</v>
      </c>
      <c r="D33" s="87">
        <f>100%-D28-D25-D22</f>
        <v>8.9999999999999969E-2</v>
      </c>
      <c r="E33" s="7"/>
      <c r="F33" s="40"/>
      <c r="G33" s="75">
        <v>0.15</v>
      </c>
      <c r="H33" s="75">
        <v>0.16</v>
      </c>
      <c r="I33" s="75">
        <v>0.14000000000000001</v>
      </c>
      <c r="J33" s="128">
        <f>D33-I33</f>
        <v>-5.0000000000000044E-2</v>
      </c>
    </row>
    <row r="34" spans="2:10" x14ac:dyDescent="0.25">
      <c r="H34" s="94"/>
      <c r="I34" s="94"/>
      <c r="J34" s="94"/>
    </row>
    <row r="35" spans="2:10" x14ac:dyDescent="0.25">
      <c r="H35" s="94"/>
      <c r="I35" s="94"/>
      <c r="J35" s="94"/>
    </row>
    <row r="36" spans="2:10" ht="15.75" thickBot="1" x14ac:dyDescent="0.3">
      <c r="H36" s="94"/>
      <c r="I36" s="94"/>
      <c r="J36" s="94"/>
    </row>
    <row r="37" spans="2:10" ht="19.5" thickBot="1" x14ac:dyDescent="0.35">
      <c r="B37" s="69" t="s">
        <v>14</v>
      </c>
      <c r="C37" s="70"/>
      <c r="D37" s="70"/>
      <c r="E37" s="70"/>
      <c r="F37" s="70"/>
      <c r="G37" s="71"/>
      <c r="H37" s="95"/>
      <c r="I37" s="95"/>
      <c r="J37" s="95"/>
    </row>
    <row r="38" spans="2:10" ht="15.75" thickBot="1" x14ac:dyDescent="0.3">
      <c r="B38" s="72"/>
      <c r="C38" s="73"/>
      <c r="D38" s="73"/>
      <c r="E38" s="73"/>
      <c r="F38" s="73"/>
      <c r="G38" s="74"/>
      <c r="H38" s="110" t="str">
        <f>H20</f>
        <v>Q1</v>
      </c>
      <c r="I38" s="106" t="s">
        <v>31</v>
      </c>
      <c r="J38" s="111" t="str">
        <f>J20</f>
        <v xml:space="preserve">Delta (Q3-Q2) </v>
      </c>
    </row>
    <row r="39" spans="2:10" ht="15.75" thickBot="1" x14ac:dyDescent="0.3">
      <c r="B39" s="48" t="s">
        <v>1</v>
      </c>
      <c r="C39" s="49"/>
      <c r="D39" s="19" t="str">
        <f>D21</f>
        <v>Q3 2016</v>
      </c>
      <c r="E39" s="19" t="s">
        <v>4</v>
      </c>
      <c r="F39" s="50" t="s">
        <v>5</v>
      </c>
      <c r="G39" s="50" t="s">
        <v>15</v>
      </c>
      <c r="H39" s="95"/>
      <c r="I39" s="95"/>
      <c r="J39" s="95"/>
    </row>
    <row r="40" spans="2:10" ht="15.75" thickBot="1" x14ac:dyDescent="0.3">
      <c r="B40" s="23" t="s">
        <v>2</v>
      </c>
      <c r="C40" s="85">
        <v>0.7</v>
      </c>
      <c r="D40" s="75">
        <f>SUM(F40:F45)</f>
        <v>0.60000000000000009</v>
      </c>
      <c r="E40" s="24" t="s">
        <v>6</v>
      </c>
      <c r="F40" s="45">
        <v>0.39</v>
      </c>
      <c r="G40" s="35"/>
      <c r="H40" s="91">
        <v>0.42</v>
      </c>
      <c r="I40" s="91">
        <v>0.42</v>
      </c>
      <c r="J40" s="128">
        <f t="shared" ref="J40:J52" si="2">F40-I40</f>
        <v>-2.9999999999999971E-2</v>
      </c>
    </row>
    <row r="41" spans="2:10" ht="15.75" thickBot="1" x14ac:dyDescent="0.3">
      <c r="B41" s="53"/>
      <c r="C41" s="76"/>
      <c r="D41" s="82"/>
      <c r="E41" s="25" t="s">
        <v>7</v>
      </c>
      <c r="F41" s="44">
        <v>0.06</v>
      </c>
      <c r="G41" s="43"/>
      <c r="H41" s="100">
        <v>0.06</v>
      </c>
      <c r="I41" s="100">
        <v>0.06</v>
      </c>
      <c r="J41" s="91">
        <f t="shared" si="2"/>
        <v>0</v>
      </c>
    </row>
    <row r="42" spans="2:10" ht="15.75" thickBot="1" x14ac:dyDescent="0.3">
      <c r="B42" s="53"/>
      <c r="C42" s="76"/>
      <c r="D42" s="98"/>
      <c r="E42" s="25" t="s">
        <v>22</v>
      </c>
      <c r="F42" s="44">
        <v>0.04</v>
      </c>
      <c r="G42" s="43"/>
      <c r="H42" s="100">
        <v>0.03</v>
      </c>
      <c r="I42" s="100">
        <v>0.04</v>
      </c>
      <c r="J42" s="91">
        <f t="shared" si="2"/>
        <v>0</v>
      </c>
    </row>
    <row r="43" spans="2:10" ht="15.75" thickBot="1" x14ac:dyDescent="0.3">
      <c r="B43" s="53"/>
      <c r="C43" s="76"/>
      <c r="D43" s="98"/>
      <c r="E43" s="25" t="s">
        <v>16</v>
      </c>
      <c r="F43" s="44">
        <v>0.04</v>
      </c>
      <c r="G43" s="43"/>
      <c r="H43" s="100">
        <v>0.03</v>
      </c>
      <c r="I43" s="100">
        <v>0.04</v>
      </c>
      <c r="J43" s="91">
        <f t="shared" si="2"/>
        <v>0</v>
      </c>
    </row>
    <row r="44" spans="2:10" ht="15.75" thickBot="1" x14ac:dyDescent="0.3">
      <c r="B44" s="53"/>
      <c r="C44" s="76"/>
      <c r="D44" s="98"/>
      <c r="E44" s="25" t="s">
        <v>25</v>
      </c>
      <c r="F44" s="44">
        <v>0.03</v>
      </c>
      <c r="G44" s="43"/>
      <c r="H44" s="102">
        <v>0</v>
      </c>
      <c r="I44" s="102">
        <v>0.03</v>
      </c>
      <c r="J44" s="91">
        <f t="shared" si="2"/>
        <v>0</v>
      </c>
    </row>
    <row r="45" spans="2:10" ht="15.75" thickBot="1" x14ac:dyDescent="0.3">
      <c r="B45" s="54"/>
      <c r="C45" s="77"/>
      <c r="D45" s="81"/>
      <c r="E45" s="26" t="s">
        <v>17</v>
      </c>
      <c r="F45" s="39">
        <v>0.04</v>
      </c>
      <c r="G45" s="38"/>
      <c r="H45" s="93">
        <v>0.03</v>
      </c>
      <c r="I45" s="92">
        <v>0.04</v>
      </c>
      <c r="J45" s="91">
        <f t="shared" si="2"/>
        <v>0</v>
      </c>
    </row>
    <row r="46" spans="2:10" ht="15.75" thickBot="1" x14ac:dyDescent="0.3">
      <c r="B46" s="23" t="s">
        <v>3</v>
      </c>
      <c r="C46" s="86">
        <v>0.5</v>
      </c>
      <c r="D46" s="75">
        <f>F46+F47</f>
        <v>0.15</v>
      </c>
      <c r="E46" s="27" t="s">
        <v>8</v>
      </c>
      <c r="F46" s="45">
        <v>0.15</v>
      </c>
      <c r="G46" s="35"/>
      <c r="H46" s="91">
        <v>0.18</v>
      </c>
      <c r="I46" s="91">
        <v>0.15</v>
      </c>
      <c r="J46" s="91">
        <f t="shared" si="2"/>
        <v>0</v>
      </c>
    </row>
    <row r="47" spans="2:10" ht="15.75" thickBot="1" x14ac:dyDescent="0.3">
      <c r="B47" s="54"/>
      <c r="C47" s="78"/>
      <c r="D47" s="81"/>
      <c r="E47" s="115" t="s">
        <v>36</v>
      </c>
      <c r="F47" s="37">
        <v>0</v>
      </c>
      <c r="G47" s="38"/>
      <c r="H47" s="101">
        <v>0.05</v>
      </c>
      <c r="I47" s="101">
        <v>0</v>
      </c>
      <c r="J47" s="91">
        <f t="shared" si="2"/>
        <v>0</v>
      </c>
    </row>
    <row r="48" spans="2:10" ht="15.75" thickBot="1" x14ac:dyDescent="0.3">
      <c r="B48" s="23" t="s">
        <v>10</v>
      </c>
      <c r="C48" s="86">
        <v>0.3</v>
      </c>
      <c r="D48" s="75">
        <f>SUM(F48:F52)</f>
        <v>0.19</v>
      </c>
      <c r="E48" s="28" t="s">
        <v>23</v>
      </c>
      <c r="F48" s="45">
        <v>0.05</v>
      </c>
      <c r="G48" s="35"/>
      <c r="H48" s="91">
        <v>0.06</v>
      </c>
      <c r="I48" s="92">
        <v>0.05</v>
      </c>
      <c r="J48" s="91">
        <f t="shared" si="2"/>
        <v>0</v>
      </c>
    </row>
    <row r="49" spans="2:10" ht="15.75" thickBot="1" x14ac:dyDescent="0.3">
      <c r="B49" s="53"/>
      <c r="C49" s="79"/>
      <c r="D49" s="120"/>
      <c r="E49" s="121" t="s">
        <v>33</v>
      </c>
      <c r="F49" s="122">
        <v>0.03</v>
      </c>
      <c r="G49" s="43"/>
      <c r="H49" s="92">
        <v>0</v>
      </c>
      <c r="I49" s="92">
        <v>0</v>
      </c>
      <c r="J49" s="91">
        <f t="shared" si="2"/>
        <v>0.03</v>
      </c>
    </row>
    <row r="50" spans="2:10" ht="15.75" thickBot="1" x14ac:dyDescent="0.3">
      <c r="B50" s="53"/>
      <c r="C50" s="79"/>
      <c r="D50" s="82"/>
      <c r="E50" s="29" t="s">
        <v>18</v>
      </c>
      <c r="F50" s="44">
        <v>0.06</v>
      </c>
      <c r="G50" s="33"/>
      <c r="H50" s="100">
        <v>0.04</v>
      </c>
      <c r="I50" s="100">
        <v>0.04</v>
      </c>
      <c r="J50" s="91">
        <f t="shared" si="2"/>
        <v>1.9999999999999997E-2</v>
      </c>
    </row>
    <row r="51" spans="2:10" ht="15.75" thickBot="1" x14ac:dyDescent="0.3">
      <c r="B51" s="53"/>
      <c r="C51" s="79"/>
      <c r="D51" s="98"/>
      <c r="E51" s="30" t="s">
        <v>24</v>
      </c>
      <c r="F51" s="44">
        <v>0</v>
      </c>
      <c r="G51" s="43"/>
      <c r="H51" s="100">
        <v>0</v>
      </c>
      <c r="I51" s="100">
        <v>0</v>
      </c>
      <c r="J51" s="91">
        <f t="shared" si="2"/>
        <v>0</v>
      </c>
    </row>
    <row r="52" spans="2:10" ht="15.75" thickBot="1" x14ac:dyDescent="0.3">
      <c r="B52" s="54"/>
      <c r="C52" s="78"/>
      <c r="D52" s="81"/>
      <c r="E52" s="31" t="s">
        <v>13</v>
      </c>
      <c r="F52" s="39">
        <v>0.05</v>
      </c>
      <c r="G52" s="38"/>
      <c r="H52" s="92">
        <v>0.05</v>
      </c>
      <c r="I52" s="92">
        <v>0.05</v>
      </c>
      <c r="J52" s="91">
        <f t="shared" si="2"/>
        <v>0</v>
      </c>
    </row>
    <row r="53" spans="2:10" ht="15.75" thickBot="1" x14ac:dyDescent="0.3">
      <c r="B53" s="23" t="s">
        <v>11</v>
      </c>
      <c r="C53" s="86">
        <v>1</v>
      </c>
      <c r="D53" s="87">
        <f>100%-D48-D46-D40</f>
        <v>5.9999999999999942E-2</v>
      </c>
      <c r="E53" s="32"/>
      <c r="F53" s="46"/>
      <c r="G53" s="75">
        <v>0.18</v>
      </c>
      <c r="H53" s="75">
        <v>0.05</v>
      </c>
      <c r="I53" s="75">
        <v>0.08</v>
      </c>
      <c r="J53" s="128">
        <f>D53-I53</f>
        <v>-2.0000000000000059E-2</v>
      </c>
    </row>
  </sheetData>
  <pageMargins left="0.7" right="0.7" top="0.75" bottom="0.75" header="0.3" footer="0.3"/>
  <pageSetup scale="81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J71"/>
  <sheetViews>
    <sheetView topLeftCell="A4" workbookViewId="0">
      <selection sqref="A1:Z70"/>
    </sheetView>
  </sheetViews>
  <sheetFormatPr defaultRowHeight="15" x14ac:dyDescent="0.25"/>
  <cols>
    <col min="2" max="2" width="11.28515625" customWidth="1"/>
    <col min="5" max="5" width="31.7109375" customWidth="1"/>
    <col min="10" max="10" width="13.85546875" customWidth="1"/>
    <col min="11" max="11" width="11.42578125" customWidth="1"/>
    <col min="14" max="14" width="11.140625" bestFit="1" customWidth="1"/>
    <col min="19" max="20" width="15" customWidth="1"/>
    <col min="22" max="22" width="10.42578125" customWidth="1"/>
    <col min="23" max="23" width="21" customWidth="1"/>
  </cols>
  <sheetData>
    <row r="1" spans="2:25" ht="23.25" x14ac:dyDescent="0.35">
      <c r="Q1" s="139"/>
      <c r="R1" s="140" t="s">
        <v>42</v>
      </c>
      <c r="S1" s="140"/>
      <c r="T1" s="140"/>
      <c r="U1" s="140"/>
      <c r="V1" s="140" t="s">
        <v>58</v>
      </c>
      <c r="W1" s="33"/>
    </row>
    <row r="2" spans="2:25" ht="24" thickBot="1" x14ac:dyDescent="0.4">
      <c r="M2" s="139" t="s">
        <v>41</v>
      </c>
      <c r="Q2" s="139"/>
      <c r="R2" s="140" t="s">
        <v>43</v>
      </c>
      <c r="S2" s="140"/>
      <c r="T2" s="140"/>
      <c r="V2" s="140" t="s">
        <v>59</v>
      </c>
      <c r="W2" s="33"/>
    </row>
    <row r="3" spans="2:25" ht="24" thickBot="1" x14ac:dyDescent="0.4">
      <c r="B3" s="51" t="s">
        <v>47</v>
      </c>
      <c r="C3" s="52"/>
      <c r="Q3" s="139"/>
      <c r="R3" s="140" t="s">
        <v>54</v>
      </c>
      <c r="S3" s="140"/>
      <c r="T3" s="140"/>
    </row>
    <row r="4" spans="2:25" ht="19.5" thickBot="1" x14ac:dyDescent="0.35">
      <c r="L4" s="9" t="s">
        <v>40</v>
      </c>
      <c r="M4" s="133"/>
      <c r="N4" s="134">
        <f>SUM(N8:N20)</f>
        <v>3.9950000000000013E-2</v>
      </c>
      <c r="Q4" s="9" t="s">
        <v>45</v>
      </c>
      <c r="R4" s="133"/>
      <c r="S4" s="134">
        <f>SUM(S8:S20)</f>
        <v>6.0749999999999998E-2</v>
      </c>
      <c r="Y4" s="131">
        <f>D8/C8</f>
        <v>0.54999999999999993</v>
      </c>
    </row>
    <row r="5" spans="2:25" ht="19.5" thickBot="1" x14ac:dyDescent="0.35">
      <c r="B5" s="63" t="s">
        <v>0</v>
      </c>
      <c r="C5" s="64"/>
      <c r="D5" s="64"/>
      <c r="E5" s="64"/>
      <c r="F5" s="64"/>
      <c r="G5" s="65"/>
      <c r="H5" s="33"/>
      <c r="I5" s="33"/>
      <c r="J5" s="33"/>
      <c r="L5" s="149"/>
      <c r="M5" s="150"/>
      <c r="N5" s="151"/>
      <c r="Q5" s="149"/>
      <c r="R5" s="150"/>
      <c r="S5" s="151"/>
    </row>
    <row r="6" spans="2:25" ht="15.75" thickBot="1" x14ac:dyDescent="0.3">
      <c r="B6" s="66"/>
      <c r="C6" s="67"/>
      <c r="D6" s="67"/>
      <c r="E6" s="67"/>
      <c r="F6" s="67"/>
      <c r="G6" s="68"/>
      <c r="H6" s="106" t="s">
        <v>31</v>
      </c>
      <c r="I6" s="106" t="s">
        <v>37</v>
      </c>
      <c r="J6" s="107" t="s">
        <v>53</v>
      </c>
      <c r="L6" s="1"/>
      <c r="M6" s="2"/>
      <c r="N6" s="3"/>
      <c r="Q6" s="1"/>
      <c r="R6" s="2"/>
      <c r="S6" s="3"/>
      <c r="T6" s="2"/>
      <c r="V6" s="166"/>
      <c r="W6" s="167"/>
    </row>
    <row r="7" spans="2:25" ht="15.75" thickBot="1" x14ac:dyDescent="0.3">
      <c r="B7" s="48" t="s">
        <v>1</v>
      </c>
      <c r="C7" s="49"/>
      <c r="D7" s="19" t="s">
        <v>48</v>
      </c>
      <c r="E7" s="19" t="s">
        <v>4</v>
      </c>
      <c r="F7" s="50" t="s">
        <v>5</v>
      </c>
      <c r="G7" s="50" t="s">
        <v>15</v>
      </c>
      <c r="H7" s="33"/>
      <c r="I7" s="33"/>
      <c r="J7" s="33"/>
      <c r="L7" s="1"/>
      <c r="M7" s="2"/>
      <c r="N7" s="3"/>
      <c r="Q7" s="1"/>
      <c r="R7" s="2"/>
      <c r="S7" s="3"/>
      <c r="T7" s="2"/>
      <c r="V7" s="168" t="s">
        <v>60</v>
      </c>
      <c r="W7" s="169" t="s">
        <v>61</v>
      </c>
    </row>
    <row r="8" spans="2:25" ht="19.5" thickBot="1" x14ac:dyDescent="0.35">
      <c r="B8" s="80" t="s">
        <v>2</v>
      </c>
      <c r="C8" s="85">
        <v>0.2</v>
      </c>
      <c r="D8" s="75">
        <f>F8+F9</f>
        <v>0.11</v>
      </c>
      <c r="E8" s="112" t="s">
        <v>49</v>
      </c>
      <c r="F8" s="34">
        <v>0.11</v>
      </c>
      <c r="G8" s="35"/>
      <c r="H8" s="91">
        <f>'Q2 16'!I7</f>
        <v>0.13</v>
      </c>
      <c r="I8" s="123">
        <v>0.11</v>
      </c>
      <c r="J8" s="96">
        <f>F8-I8</f>
        <v>0</v>
      </c>
      <c r="L8" s="147">
        <v>0.06</v>
      </c>
      <c r="M8" s="2"/>
      <c r="N8" s="141">
        <f t="shared" ref="N8:N18" si="0">L8*F8</f>
        <v>6.6E-3</v>
      </c>
      <c r="Q8" s="132">
        <v>0.15</v>
      </c>
      <c r="R8" s="2"/>
      <c r="S8" s="141">
        <f t="shared" ref="S8:S18" si="1">Q8*F8</f>
        <v>1.6500000000000001E-2</v>
      </c>
      <c r="T8" s="165"/>
      <c r="V8" s="168" t="s">
        <v>62</v>
      </c>
      <c r="W8" s="171">
        <v>-4.07E-2</v>
      </c>
    </row>
    <row r="9" spans="2:25" ht="15.75" thickBot="1" x14ac:dyDescent="0.3">
      <c r="B9" s="81"/>
      <c r="C9" s="77"/>
      <c r="D9" s="88"/>
      <c r="E9" s="113" t="s">
        <v>7</v>
      </c>
      <c r="F9" s="39">
        <v>0</v>
      </c>
      <c r="G9" s="38"/>
      <c r="H9" s="91">
        <f>'Q2 16'!I8</f>
        <v>0.05</v>
      </c>
      <c r="I9" s="123">
        <v>0.05</v>
      </c>
      <c r="J9" s="96">
        <f t="shared" ref="J9:J18" si="2">F9-I9</f>
        <v>-0.05</v>
      </c>
      <c r="L9" s="147">
        <v>0.03</v>
      </c>
      <c r="M9" s="2"/>
      <c r="N9" s="141">
        <f t="shared" si="0"/>
        <v>0</v>
      </c>
      <c r="Q9" s="132">
        <v>0.1</v>
      </c>
      <c r="R9" s="2"/>
      <c r="S9" s="141">
        <f t="shared" si="1"/>
        <v>0</v>
      </c>
      <c r="T9" s="165"/>
      <c r="V9" s="168"/>
      <c r="W9" s="169"/>
    </row>
    <row r="10" spans="2:25" ht="15.75" thickBot="1" x14ac:dyDescent="0.3">
      <c r="B10" s="80" t="s">
        <v>3</v>
      </c>
      <c r="C10" s="86">
        <v>1</v>
      </c>
      <c r="D10" s="75">
        <f>SUM(F10:F13)</f>
        <v>0.53</v>
      </c>
      <c r="E10" s="114" t="s">
        <v>50</v>
      </c>
      <c r="F10" s="34">
        <v>0.37</v>
      </c>
      <c r="G10" s="35"/>
      <c r="H10" s="91">
        <f>'Q2 16'!I9</f>
        <v>0.37</v>
      </c>
      <c r="I10" s="123">
        <v>0.37</v>
      </c>
      <c r="J10" s="96">
        <f t="shared" si="2"/>
        <v>0</v>
      </c>
      <c r="L10" s="147">
        <v>3.5000000000000003E-2</v>
      </c>
      <c r="M10" s="2"/>
      <c r="N10" s="141">
        <f t="shared" si="0"/>
        <v>1.2950000000000001E-2</v>
      </c>
      <c r="Q10" s="132">
        <v>5.5E-2</v>
      </c>
      <c r="R10" s="2"/>
      <c r="S10" s="141">
        <f t="shared" si="1"/>
        <v>2.035E-2</v>
      </c>
      <c r="T10" s="165"/>
      <c r="V10" s="168" t="s">
        <v>63</v>
      </c>
      <c r="W10" s="169" t="s">
        <v>64</v>
      </c>
    </row>
    <row r="11" spans="2:25" ht="19.5" thickBot="1" x14ac:dyDescent="0.35">
      <c r="B11" s="82"/>
      <c r="C11" s="79"/>
      <c r="D11" s="89"/>
      <c r="E11" s="115" t="s">
        <v>52</v>
      </c>
      <c r="F11" s="44">
        <v>0.06</v>
      </c>
      <c r="G11" s="43"/>
      <c r="H11" s="91">
        <f>'Q2 16'!I10</f>
        <v>0.08</v>
      </c>
      <c r="I11" s="123">
        <v>0</v>
      </c>
      <c r="J11" s="146">
        <f t="shared" si="2"/>
        <v>0.06</v>
      </c>
      <c r="L11" s="147">
        <v>2.5000000000000001E-2</v>
      </c>
      <c r="M11" s="2"/>
      <c r="N11" s="141">
        <f t="shared" si="0"/>
        <v>1.5E-3</v>
      </c>
      <c r="Q11" s="132">
        <v>0.08</v>
      </c>
      <c r="R11" s="2"/>
      <c r="S11" s="141">
        <f t="shared" si="1"/>
        <v>4.7999999999999996E-3</v>
      </c>
      <c r="T11" s="165"/>
      <c r="V11" s="168"/>
      <c r="W11" s="171">
        <v>-2.9000000000000001E-2</v>
      </c>
    </row>
    <row r="12" spans="2:25" ht="15.75" thickBot="1" x14ac:dyDescent="0.3">
      <c r="B12" s="82"/>
      <c r="C12" s="79"/>
      <c r="D12" s="89"/>
      <c r="E12" s="129" t="s">
        <v>38</v>
      </c>
      <c r="F12" s="130">
        <v>0.05</v>
      </c>
      <c r="G12" s="43"/>
      <c r="H12" s="91">
        <v>0</v>
      </c>
      <c r="I12" s="123">
        <v>0.05</v>
      </c>
      <c r="J12" s="96">
        <f t="shared" si="2"/>
        <v>0</v>
      </c>
      <c r="L12" s="147">
        <v>0.04</v>
      </c>
      <c r="M12" s="2"/>
      <c r="N12" s="141">
        <f t="shared" si="0"/>
        <v>2E-3</v>
      </c>
      <c r="Q12" s="132">
        <v>0.02</v>
      </c>
      <c r="R12" s="2"/>
      <c r="S12" s="141">
        <f t="shared" si="1"/>
        <v>1E-3</v>
      </c>
      <c r="T12" s="165"/>
      <c r="V12" s="168"/>
      <c r="W12" s="169"/>
    </row>
    <row r="13" spans="2:25" ht="15.75" thickBot="1" x14ac:dyDescent="0.3">
      <c r="B13" s="81"/>
      <c r="C13" s="78"/>
      <c r="D13" s="88"/>
      <c r="E13" s="116" t="s">
        <v>51</v>
      </c>
      <c r="F13" s="37">
        <v>0.05</v>
      </c>
      <c r="G13" s="38"/>
      <c r="H13" s="91">
        <f>'Q2 16'!I11</f>
        <v>0.1</v>
      </c>
      <c r="I13" s="123">
        <v>0.09</v>
      </c>
      <c r="J13" s="96">
        <f t="shared" si="2"/>
        <v>-3.9999999999999994E-2</v>
      </c>
      <c r="L13" s="147">
        <v>0.04</v>
      </c>
      <c r="M13" s="2"/>
      <c r="N13" s="141">
        <f t="shared" si="0"/>
        <v>2E-3</v>
      </c>
      <c r="Q13" s="132">
        <v>0.1</v>
      </c>
      <c r="R13" s="2"/>
      <c r="S13" s="141">
        <f t="shared" si="1"/>
        <v>5.000000000000001E-3</v>
      </c>
      <c r="T13" s="165"/>
      <c r="V13" s="168" t="s">
        <v>65</v>
      </c>
      <c r="W13" s="169" t="s">
        <v>66</v>
      </c>
    </row>
    <row r="14" spans="2:25" ht="19.5" thickBot="1" x14ac:dyDescent="0.35">
      <c r="B14" s="80" t="s">
        <v>10</v>
      </c>
      <c r="C14" s="86">
        <v>0.15</v>
      </c>
      <c r="D14" s="75">
        <f>SUM(F14:F18)</f>
        <v>0.18000000000000002</v>
      </c>
      <c r="E14" s="117" t="s">
        <v>55</v>
      </c>
      <c r="F14" s="45">
        <v>0.05</v>
      </c>
      <c r="G14" s="35"/>
      <c r="H14" s="91">
        <f>'Q2 16'!I12</f>
        <v>0</v>
      </c>
      <c r="I14" s="123">
        <v>0</v>
      </c>
      <c r="J14" s="146">
        <f t="shared" si="2"/>
        <v>0.05</v>
      </c>
      <c r="L14" s="147">
        <v>0.1</v>
      </c>
      <c r="M14" s="2"/>
      <c r="N14" s="141">
        <f t="shared" si="0"/>
        <v>5.000000000000001E-3</v>
      </c>
      <c r="Q14" s="132">
        <v>0.1</v>
      </c>
      <c r="R14" s="2"/>
      <c r="S14" s="141">
        <f t="shared" si="1"/>
        <v>5.000000000000001E-3</v>
      </c>
      <c r="T14" s="165"/>
      <c r="V14" s="170"/>
      <c r="W14" s="175">
        <v>-2.7699999999999999E-2</v>
      </c>
    </row>
    <row r="15" spans="2:25" ht="15.75" thickBot="1" x14ac:dyDescent="0.3">
      <c r="B15" s="82"/>
      <c r="C15" s="79"/>
      <c r="D15" s="97"/>
      <c r="E15" s="115" t="s">
        <v>18</v>
      </c>
      <c r="F15" s="44">
        <v>7.0000000000000007E-2</v>
      </c>
      <c r="G15" s="43"/>
      <c r="H15" s="91">
        <f>'Q2 16'!I13</f>
        <v>7.0000000000000007E-2</v>
      </c>
      <c r="I15" s="123">
        <v>7.0000000000000007E-2</v>
      </c>
      <c r="J15" s="96">
        <f t="shared" si="2"/>
        <v>0</v>
      </c>
      <c r="L15" s="147">
        <v>0.02</v>
      </c>
      <c r="M15" s="2"/>
      <c r="N15" s="141">
        <f t="shared" si="0"/>
        <v>1.4000000000000002E-3</v>
      </c>
      <c r="Q15" s="132">
        <v>0.02</v>
      </c>
      <c r="R15" s="2"/>
      <c r="S15" s="141">
        <f t="shared" si="1"/>
        <v>1.4000000000000002E-3</v>
      </c>
      <c r="T15" s="165"/>
    </row>
    <row r="16" spans="2:25" ht="15.75" thickBot="1" x14ac:dyDescent="0.3">
      <c r="B16" s="82"/>
      <c r="C16" s="79"/>
      <c r="D16" s="97"/>
      <c r="E16" s="115" t="s">
        <v>56</v>
      </c>
      <c r="F16" s="44">
        <v>0.03</v>
      </c>
      <c r="G16" s="43"/>
      <c r="H16" s="91">
        <v>0</v>
      </c>
      <c r="I16" s="123">
        <v>0</v>
      </c>
      <c r="J16" s="146">
        <f t="shared" si="2"/>
        <v>0.03</v>
      </c>
      <c r="L16" s="147">
        <v>0.06</v>
      </c>
      <c r="M16" s="2"/>
      <c r="N16" s="141">
        <f t="shared" si="0"/>
        <v>1.8E-3</v>
      </c>
      <c r="Q16" s="132">
        <v>0.05</v>
      </c>
      <c r="R16" s="2"/>
      <c r="S16" s="141">
        <f t="shared" si="1"/>
        <v>1.5E-3</v>
      </c>
      <c r="T16" s="165"/>
    </row>
    <row r="17" spans="2:25" ht="15.75" thickBot="1" x14ac:dyDescent="0.3">
      <c r="B17" s="82"/>
      <c r="C17" s="79"/>
      <c r="D17" s="98"/>
      <c r="E17" s="118" t="s">
        <v>23</v>
      </c>
      <c r="F17" s="44">
        <v>0.03</v>
      </c>
      <c r="G17" s="43"/>
      <c r="H17" s="91">
        <f>'Q2 16'!I14</f>
        <v>0.03</v>
      </c>
      <c r="I17" s="123">
        <v>0.03</v>
      </c>
      <c r="J17" s="96">
        <f t="shared" si="2"/>
        <v>0</v>
      </c>
      <c r="L17" s="147">
        <v>0.05</v>
      </c>
      <c r="M17" s="2"/>
      <c r="N17" s="141">
        <f t="shared" si="0"/>
        <v>1.5E-3</v>
      </c>
      <c r="Q17" s="132">
        <v>0.04</v>
      </c>
      <c r="R17" s="2"/>
      <c r="S17" s="141">
        <f t="shared" si="1"/>
        <v>1.1999999999999999E-3</v>
      </c>
      <c r="T17" s="165"/>
    </row>
    <row r="18" spans="2:25" ht="15.75" thickBot="1" x14ac:dyDescent="0.3">
      <c r="B18" s="81"/>
      <c r="C18" s="78"/>
      <c r="D18" s="99"/>
      <c r="E18" s="119" t="s">
        <v>39</v>
      </c>
      <c r="F18" s="39">
        <v>0</v>
      </c>
      <c r="G18" s="38"/>
      <c r="H18" s="91">
        <f>'Q2 16'!I15</f>
        <v>0</v>
      </c>
      <c r="I18" s="123">
        <v>0.03</v>
      </c>
      <c r="J18" s="96">
        <f t="shared" si="2"/>
        <v>-0.03</v>
      </c>
      <c r="L18" s="147">
        <v>0.05</v>
      </c>
      <c r="M18" s="2"/>
      <c r="N18" s="141">
        <f t="shared" si="0"/>
        <v>0</v>
      </c>
      <c r="Q18" s="132">
        <v>0.04</v>
      </c>
      <c r="R18" s="2"/>
      <c r="S18" s="141">
        <f t="shared" si="1"/>
        <v>0</v>
      </c>
      <c r="T18" s="165"/>
    </row>
    <row r="19" spans="2:25" ht="15.75" thickBot="1" x14ac:dyDescent="0.3">
      <c r="B19" s="80" t="s">
        <v>11</v>
      </c>
      <c r="C19" s="86">
        <v>1</v>
      </c>
      <c r="D19" s="90">
        <f>100%-D14-D10-D8</f>
        <v>0.17999999999999994</v>
      </c>
      <c r="E19" s="47"/>
      <c r="F19" s="46"/>
      <c r="H19" s="127">
        <f>'Q2 16'!I16</f>
        <v>0.17</v>
      </c>
      <c r="I19" s="127">
        <f>'Q3 16'!I18</f>
        <v>0.19999999999999998</v>
      </c>
      <c r="J19" s="128">
        <f>D19-I19</f>
        <v>-2.0000000000000046E-2</v>
      </c>
      <c r="L19" s="147">
        <v>0.01</v>
      </c>
      <c r="M19" s="7"/>
      <c r="N19" s="142">
        <f>I19*L19</f>
        <v>2E-3</v>
      </c>
      <c r="Q19" s="132">
        <v>0.15</v>
      </c>
      <c r="R19" s="2"/>
      <c r="S19" s="141"/>
      <c r="T19" s="165"/>
    </row>
    <row r="20" spans="2:25" ht="15.75" thickBot="1" x14ac:dyDescent="0.3">
      <c r="B20" s="89"/>
      <c r="D20" s="135"/>
      <c r="E20" s="43"/>
      <c r="F20" s="43"/>
      <c r="G20" s="75">
        <v>0.08</v>
      </c>
      <c r="H20" s="136"/>
      <c r="I20" s="136"/>
      <c r="J20" s="136"/>
      <c r="K20" s="80" t="s">
        <v>44</v>
      </c>
      <c r="L20" s="137">
        <v>0.04</v>
      </c>
      <c r="M20" s="32"/>
      <c r="N20" s="143">
        <f>L20*G20</f>
        <v>3.2000000000000002E-3</v>
      </c>
      <c r="Q20" s="138">
        <v>0.05</v>
      </c>
      <c r="R20" s="32"/>
      <c r="S20" s="143">
        <f>Q20*G20</f>
        <v>4.0000000000000001E-3</v>
      </c>
      <c r="T20" s="165"/>
    </row>
    <row r="21" spans="2:25" x14ac:dyDescent="0.25">
      <c r="H21" s="94"/>
      <c r="I21" s="94"/>
      <c r="J21" s="94"/>
      <c r="N21" s="131"/>
      <c r="S21" s="131"/>
      <c r="T21" s="131"/>
    </row>
    <row r="22" spans="2:25" ht="15.75" thickBot="1" x14ac:dyDescent="0.3">
      <c r="H22" s="94"/>
      <c r="I22" s="94"/>
      <c r="J22" s="94"/>
      <c r="N22" s="131"/>
      <c r="S22" s="131"/>
      <c r="T22" s="131"/>
    </row>
    <row r="23" spans="2:25" ht="19.5" thickBot="1" x14ac:dyDescent="0.35">
      <c r="B23" s="57" t="s">
        <v>12</v>
      </c>
      <c r="C23" s="58"/>
      <c r="D23" s="58"/>
      <c r="E23" s="58"/>
      <c r="F23" s="58"/>
      <c r="G23" s="59"/>
      <c r="H23" s="95"/>
      <c r="I23" s="95"/>
      <c r="J23" s="95"/>
      <c r="L23" s="9" t="s">
        <v>40</v>
      </c>
      <c r="M23" s="133"/>
      <c r="N23" s="134">
        <f>SUM(N26:N39)</f>
        <v>4.2150000000000014E-2</v>
      </c>
      <c r="Q23" s="9" t="str">
        <f>Q4</f>
        <v>Risk=</v>
      </c>
      <c r="R23" s="133"/>
      <c r="S23" s="134">
        <f>SUM(S26:S40)</f>
        <v>7.5000000000000011E-2</v>
      </c>
      <c r="Y23" s="131">
        <f>D26/C26</f>
        <v>0.7</v>
      </c>
    </row>
    <row r="24" spans="2:25" ht="19.5" thickBot="1" x14ac:dyDescent="0.35">
      <c r="B24" s="60"/>
      <c r="C24" s="61"/>
      <c r="D24" s="61"/>
      <c r="E24" s="61"/>
      <c r="F24" s="61"/>
      <c r="G24" s="62"/>
      <c r="H24" s="108" t="str">
        <f>H6</f>
        <v>Q2</v>
      </c>
      <c r="I24" s="108" t="str">
        <f>I6</f>
        <v>Q3</v>
      </c>
      <c r="J24" s="109" t="str">
        <f>J6</f>
        <v xml:space="preserve">Delta (Q4-Q3) </v>
      </c>
      <c r="L24" s="149"/>
      <c r="M24" s="150"/>
      <c r="N24" s="152"/>
      <c r="Q24" s="149"/>
      <c r="R24" s="150"/>
      <c r="S24" s="151"/>
    </row>
    <row r="25" spans="2:25" ht="15.75" thickBot="1" x14ac:dyDescent="0.3">
      <c r="B25" s="48" t="s">
        <v>1</v>
      </c>
      <c r="C25" s="49"/>
      <c r="D25" s="19" t="str">
        <f>D7</f>
        <v>Q4 2016</v>
      </c>
      <c r="E25" s="19" t="s">
        <v>4</v>
      </c>
      <c r="F25" s="50" t="s">
        <v>5</v>
      </c>
      <c r="G25" s="50" t="s">
        <v>15</v>
      </c>
      <c r="H25" s="95"/>
      <c r="I25" s="33"/>
      <c r="J25" s="95"/>
      <c r="L25" s="1"/>
      <c r="M25" s="2"/>
      <c r="N25" s="141"/>
      <c r="Q25" s="1"/>
      <c r="R25" s="2"/>
      <c r="S25" s="141"/>
      <c r="T25" s="165"/>
    </row>
    <row r="26" spans="2:25" ht="15.75" thickBot="1" x14ac:dyDescent="0.3">
      <c r="B26" s="23" t="s">
        <v>2</v>
      </c>
      <c r="C26" s="85">
        <v>0.3</v>
      </c>
      <c r="D26" s="75">
        <f>F26+F28+F27</f>
        <v>0.21</v>
      </c>
      <c r="E26" s="112" t="s">
        <v>49</v>
      </c>
      <c r="F26" s="34">
        <v>0.19</v>
      </c>
      <c r="G26" s="41"/>
      <c r="H26" s="91">
        <v>0.22</v>
      </c>
      <c r="I26" s="91">
        <v>0.18</v>
      </c>
      <c r="J26" s="96">
        <f>F26-I26</f>
        <v>1.0000000000000009E-2</v>
      </c>
      <c r="L26" s="147">
        <f>L8</f>
        <v>0.06</v>
      </c>
      <c r="M26" s="2"/>
      <c r="N26" s="141">
        <f t="shared" ref="N26:N38" si="3">L26*F26</f>
        <v>1.14E-2</v>
      </c>
      <c r="Q26" s="132">
        <f>Q8</f>
        <v>0.15</v>
      </c>
      <c r="R26" s="2"/>
      <c r="S26" s="141">
        <f t="shared" ref="S26:S38" si="4">Q26*F26</f>
        <v>2.8499999999999998E-2</v>
      </c>
      <c r="T26" s="165"/>
      <c r="V26" s="166" t="s">
        <v>60</v>
      </c>
      <c r="W26" s="173" t="s">
        <v>61</v>
      </c>
    </row>
    <row r="27" spans="2:25" ht="19.5" thickBot="1" x14ac:dyDescent="0.35">
      <c r="B27" s="53"/>
      <c r="C27" s="76"/>
      <c r="D27" s="103"/>
      <c r="E27" s="29" t="s">
        <v>22</v>
      </c>
      <c r="F27" s="44">
        <v>0.02</v>
      </c>
      <c r="G27" s="42"/>
      <c r="H27" s="100">
        <v>0.03</v>
      </c>
      <c r="I27" s="91">
        <v>0.02</v>
      </c>
      <c r="J27" s="96">
        <f t="shared" ref="J27:J38" si="5">F27-I27</f>
        <v>0</v>
      </c>
      <c r="L27" s="147">
        <v>0.08</v>
      </c>
      <c r="M27" s="2"/>
      <c r="N27" s="141">
        <f t="shared" si="3"/>
        <v>1.6000000000000001E-3</v>
      </c>
      <c r="Q27" s="132">
        <v>0.2</v>
      </c>
      <c r="R27" s="2"/>
      <c r="S27" s="141">
        <f t="shared" si="4"/>
        <v>4.0000000000000001E-3</v>
      </c>
      <c r="T27" s="165"/>
      <c r="V27" s="168" t="s">
        <v>62</v>
      </c>
      <c r="W27" s="171">
        <v>-4.65E-2</v>
      </c>
    </row>
    <row r="28" spans="2:25" ht="19.5" thickBot="1" x14ac:dyDescent="0.35">
      <c r="B28" s="54"/>
      <c r="C28" s="77"/>
      <c r="D28" s="81"/>
      <c r="E28" s="22" t="s">
        <v>7</v>
      </c>
      <c r="F28" s="37">
        <v>0</v>
      </c>
      <c r="G28" s="36"/>
      <c r="H28" s="92">
        <v>0.05</v>
      </c>
      <c r="I28" s="91">
        <v>0.03</v>
      </c>
      <c r="J28" s="96">
        <f t="shared" si="5"/>
        <v>-0.03</v>
      </c>
      <c r="L28" s="147">
        <f t="shared" ref="L28:L34" si="6">L9</f>
        <v>0.03</v>
      </c>
      <c r="M28" s="2"/>
      <c r="N28" s="141">
        <f t="shared" si="3"/>
        <v>0</v>
      </c>
      <c r="Q28" s="132">
        <f t="shared" ref="Q28:Q34" si="7">Q9</f>
        <v>0.1</v>
      </c>
      <c r="R28" s="2"/>
      <c r="S28" s="141">
        <f t="shared" si="4"/>
        <v>0</v>
      </c>
      <c r="T28" s="165"/>
      <c r="V28" s="168"/>
      <c r="W28" s="171"/>
    </row>
    <row r="29" spans="2:25" ht="15.75" thickBot="1" x14ac:dyDescent="0.3">
      <c r="B29" s="23" t="s">
        <v>3</v>
      </c>
      <c r="C29" s="86">
        <v>0.8</v>
      </c>
      <c r="D29" s="75">
        <f>SUM(F29:F32)</f>
        <v>0.41999999999999993</v>
      </c>
      <c r="E29" s="114" t="s">
        <v>50</v>
      </c>
      <c r="F29" s="34">
        <v>0.3</v>
      </c>
      <c r="G29" s="41"/>
      <c r="H29" s="91">
        <v>0.3</v>
      </c>
      <c r="I29" s="91">
        <v>0.3</v>
      </c>
      <c r="J29" s="96">
        <f t="shared" si="5"/>
        <v>0</v>
      </c>
      <c r="L29" s="147">
        <f t="shared" si="6"/>
        <v>3.5000000000000003E-2</v>
      </c>
      <c r="M29" s="2"/>
      <c r="N29" s="141">
        <f t="shared" si="3"/>
        <v>1.0500000000000001E-2</v>
      </c>
      <c r="Q29" s="132">
        <f t="shared" si="7"/>
        <v>5.5E-2</v>
      </c>
      <c r="R29" s="2"/>
      <c r="S29" s="141">
        <f t="shared" si="4"/>
        <v>1.6500000000000001E-2</v>
      </c>
      <c r="T29" s="165"/>
      <c r="V29" s="168" t="s">
        <v>63</v>
      </c>
      <c r="W29" s="174" t="s">
        <v>64</v>
      </c>
    </row>
    <row r="30" spans="2:25" ht="19.5" thickBot="1" x14ac:dyDescent="0.35">
      <c r="B30" s="53"/>
      <c r="C30" s="79"/>
      <c r="D30" s="104"/>
      <c r="E30" s="115" t="s">
        <v>52</v>
      </c>
      <c r="F30" s="44">
        <v>0.03</v>
      </c>
      <c r="G30" s="42"/>
      <c r="H30" s="100">
        <v>7.0000000000000007E-2</v>
      </c>
      <c r="I30" s="91">
        <v>0</v>
      </c>
      <c r="J30" s="146">
        <f t="shared" si="5"/>
        <v>0.03</v>
      </c>
      <c r="L30" s="147">
        <f t="shared" si="6"/>
        <v>2.5000000000000001E-2</v>
      </c>
      <c r="M30" s="2"/>
      <c r="N30" s="141">
        <f t="shared" si="3"/>
        <v>7.5000000000000002E-4</v>
      </c>
      <c r="Q30" s="132">
        <f t="shared" si="7"/>
        <v>0.08</v>
      </c>
      <c r="R30" s="2"/>
      <c r="S30" s="141">
        <f t="shared" si="4"/>
        <v>2.3999999999999998E-3</v>
      </c>
      <c r="T30" s="165"/>
      <c r="V30" s="168"/>
      <c r="W30" s="171">
        <v>-4.1099999999999998E-2</v>
      </c>
    </row>
    <row r="31" spans="2:25" ht="19.5" thickBot="1" x14ac:dyDescent="0.35">
      <c r="B31" s="53"/>
      <c r="C31" s="79"/>
      <c r="D31" s="82"/>
      <c r="E31" s="129" t="s">
        <v>38</v>
      </c>
      <c r="F31" s="130">
        <v>0.04</v>
      </c>
      <c r="G31" s="42"/>
      <c r="H31" s="92">
        <v>0</v>
      </c>
      <c r="I31" s="91">
        <v>0.04</v>
      </c>
      <c r="J31" s="96">
        <f t="shared" si="5"/>
        <v>0</v>
      </c>
      <c r="L31" s="147">
        <f t="shared" si="6"/>
        <v>0.04</v>
      </c>
      <c r="M31" s="2"/>
      <c r="N31" s="141">
        <f t="shared" si="3"/>
        <v>1.6000000000000001E-3</v>
      </c>
      <c r="Q31" s="132">
        <f t="shared" si="7"/>
        <v>0.02</v>
      </c>
      <c r="R31" s="2"/>
      <c r="S31" s="141">
        <f t="shared" si="4"/>
        <v>8.0000000000000004E-4</v>
      </c>
      <c r="T31" s="165"/>
      <c r="V31" s="168"/>
      <c r="W31" s="171"/>
    </row>
    <row r="32" spans="2:25" ht="15.75" thickBot="1" x14ac:dyDescent="0.3">
      <c r="B32" s="54"/>
      <c r="C32" s="78"/>
      <c r="D32" s="81"/>
      <c r="E32" s="116" t="s">
        <v>51</v>
      </c>
      <c r="F32" s="37">
        <v>0.05</v>
      </c>
      <c r="G32" s="36"/>
      <c r="H32" s="93">
        <v>0.05</v>
      </c>
      <c r="I32" s="91">
        <v>7.0000000000000007E-2</v>
      </c>
      <c r="J32" s="96">
        <f t="shared" si="5"/>
        <v>-2.0000000000000004E-2</v>
      </c>
      <c r="L32" s="147">
        <f t="shared" si="6"/>
        <v>0.04</v>
      </c>
      <c r="M32" s="2"/>
      <c r="N32" s="141">
        <f t="shared" si="3"/>
        <v>2E-3</v>
      </c>
      <c r="Q32" s="132">
        <f t="shared" si="7"/>
        <v>0.1</v>
      </c>
      <c r="R32" s="2"/>
      <c r="S32" s="141">
        <f t="shared" si="4"/>
        <v>5.000000000000001E-3</v>
      </c>
      <c r="T32" s="165"/>
      <c r="V32" s="168" t="s">
        <v>65</v>
      </c>
      <c r="W32" s="174" t="s">
        <v>66</v>
      </c>
    </row>
    <row r="33" spans="2:25" ht="19.5" thickBot="1" x14ac:dyDescent="0.35">
      <c r="B33" s="56" t="s">
        <v>10</v>
      </c>
      <c r="C33" s="86">
        <v>0.25</v>
      </c>
      <c r="D33" s="75">
        <f>SUM(F33:F37)</f>
        <v>0.27</v>
      </c>
      <c r="E33" s="117" t="s">
        <v>55</v>
      </c>
      <c r="F33" s="45">
        <v>0.05</v>
      </c>
      <c r="G33" s="41"/>
      <c r="H33" s="92">
        <v>0</v>
      </c>
      <c r="I33" s="91">
        <v>0</v>
      </c>
      <c r="J33" s="146">
        <f t="shared" si="5"/>
        <v>0.05</v>
      </c>
      <c r="L33" s="147">
        <f t="shared" si="6"/>
        <v>0.1</v>
      </c>
      <c r="M33" s="2"/>
      <c r="N33" s="141">
        <f t="shared" si="3"/>
        <v>5.000000000000001E-3</v>
      </c>
      <c r="Q33" s="132">
        <f t="shared" si="7"/>
        <v>0.1</v>
      </c>
      <c r="R33" s="2"/>
      <c r="S33" s="141">
        <f t="shared" si="4"/>
        <v>5.000000000000001E-3</v>
      </c>
      <c r="T33" s="165"/>
      <c r="V33" s="168"/>
      <c r="W33" s="171">
        <v>-3.9199999999999999E-2</v>
      </c>
    </row>
    <row r="34" spans="2:25" ht="15.75" thickBot="1" x14ac:dyDescent="0.3">
      <c r="B34" s="83"/>
      <c r="C34" s="84"/>
      <c r="D34" s="82"/>
      <c r="E34" s="29" t="s">
        <v>18</v>
      </c>
      <c r="F34" s="44">
        <v>0.09</v>
      </c>
      <c r="G34" s="42"/>
      <c r="H34" s="100">
        <v>0.03</v>
      </c>
      <c r="I34" s="91">
        <v>0.09</v>
      </c>
      <c r="J34" s="96">
        <f t="shared" si="5"/>
        <v>0</v>
      </c>
      <c r="L34" s="147">
        <f t="shared" si="6"/>
        <v>0.02</v>
      </c>
      <c r="M34" s="2"/>
      <c r="N34" s="141">
        <f t="shared" si="3"/>
        <v>1.8E-3</v>
      </c>
      <c r="Q34" s="132">
        <f t="shared" si="7"/>
        <v>0.02</v>
      </c>
      <c r="R34" s="2"/>
      <c r="S34" s="141">
        <f t="shared" si="4"/>
        <v>1.8E-3</v>
      </c>
      <c r="T34" s="165"/>
      <c r="V34" s="170"/>
      <c r="W34" s="172"/>
    </row>
    <row r="35" spans="2:25" ht="15.75" thickBot="1" x14ac:dyDescent="0.3">
      <c r="B35" s="53"/>
      <c r="C35" s="79"/>
      <c r="D35" s="98"/>
      <c r="E35" s="30" t="s">
        <v>23</v>
      </c>
      <c r="F35" s="44">
        <v>0.05</v>
      </c>
      <c r="G35" s="42"/>
      <c r="H35" s="100">
        <v>0.05</v>
      </c>
      <c r="I35" s="91">
        <v>0.05</v>
      </c>
      <c r="J35" s="96">
        <f t="shared" si="5"/>
        <v>0</v>
      </c>
      <c r="L35" s="147">
        <f>L17</f>
        <v>0.05</v>
      </c>
      <c r="M35" s="2"/>
      <c r="N35" s="141">
        <f t="shared" si="3"/>
        <v>2.5000000000000005E-3</v>
      </c>
      <c r="Q35" s="132">
        <f>Q17</f>
        <v>0.04</v>
      </c>
      <c r="R35" s="2"/>
      <c r="S35" s="141">
        <f t="shared" si="4"/>
        <v>2E-3</v>
      </c>
      <c r="T35" s="165"/>
    </row>
    <row r="36" spans="2:25" ht="15.75" thickBot="1" x14ac:dyDescent="0.3">
      <c r="B36" s="53"/>
      <c r="C36" s="79"/>
      <c r="D36" s="98"/>
      <c r="E36" s="30" t="s">
        <v>56</v>
      </c>
      <c r="F36" s="44">
        <v>0.04</v>
      </c>
      <c r="G36" s="42"/>
      <c r="H36" s="100">
        <v>0</v>
      </c>
      <c r="I36" s="91">
        <v>0</v>
      </c>
      <c r="J36" s="146">
        <f t="shared" si="5"/>
        <v>0.04</v>
      </c>
      <c r="L36" s="147">
        <f>L17</f>
        <v>0.05</v>
      </c>
      <c r="M36" s="2"/>
      <c r="N36" s="141">
        <f t="shared" si="3"/>
        <v>2E-3</v>
      </c>
      <c r="Q36" s="132">
        <f>Q16</f>
        <v>0.05</v>
      </c>
      <c r="R36" s="2"/>
      <c r="S36" s="141">
        <f t="shared" si="4"/>
        <v>2E-3</v>
      </c>
      <c r="T36" s="165"/>
    </row>
    <row r="37" spans="2:25" ht="15.75" thickBot="1" x14ac:dyDescent="0.3">
      <c r="B37" s="54"/>
      <c r="C37" s="78"/>
      <c r="D37" s="81"/>
      <c r="E37" s="31" t="s">
        <v>13</v>
      </c>
      <c r="F37" s="39">
        <v>0.04</v>
      </c>
      <c r="G37" s="36"/>
      <c r="H37" s="92">
        <v>0.04</v>
      </c>
      <c r="I37" s="91">
        <v>0.04</v>
      </c>
      <c r="J37" s="96">
        <f t="shared" si="5"/>
        <v>0</v>
      </c>
      <c r="L37" s="147">
        <v>0.05</v>
      </c>
      <c r="M37" s="2"/>
      <c r="N37" s="141">
        <f t="shared" si="3"/>
        <v>2E-3</v>
      </c>
      <c r="Q37" s="132">
        <v>0.05</v>
      </c>
      <c r="R37" s="2"/>
      <c r="S37" s="141">
        <f t="shared" si="4"/>
        <v>2E-3</v>
      </c>
      <c r="T37" s="165"/>
    </row>
    <row r="38" spans="2:25" ht="15.75" thickBot="1" x14ac:dyDescent="0.3">
      <c r="B38" s="54"/>
      <c r="C38" s="78"/>
      <c r="D38" s="99"/>
      <c r="E38" s="119" t="s">
        <v>39</v>
      </c>
      <c r="F38" s="37">
        <v>0</v>
      </c>
      <c r="G38" s="36"/>
      <c r="H38" s="92">
        <v>0</v>
      </c>
      <c r="I38" s="91">
        <v>0.04</v>
      </c>
      <c r="J38" s="96">
        <f t="shared" si="5"/>
        <v>-0.04</v>
      </c>
      <c r="L38" s="147">
        <f>L18</f>
        <v>0.05</v>
      </c>
      <c r="M38" s="2"/>
      <c r="N38" s="141">
        <f t="shared" si="3"/>
        <v>0</v>
      </c>
      <c r="Q38" s="132">
        <f>Q19</f>
        <v>0.15</v>
      </c>
      <c r="R38" s="2"/>
      <c r="S38" s="141">
        <f t="shared" si="4"/>
        <v>0</v>
      </c>
      <c r="T38" s="165"/>
    </row>
    <row r="39" spans="2:25" ht="15.75" thickBot="1" x14ac:dyDescent="0.3">
      <c r="B39" s="55" t="s">
        <v>11</v>
      </c>
      <c r="C39" s="86">
        <v>1</v>
      </c>
      <c r="D39" s="87">
        <f>100%-D33-D29-D26</f>
        <v>0.10000000000000006</v>
      </c>
      <c r="E39" s="7"/>
      <c r="F39" s="40"/>
      <c r="H39" s="75">
        <v>0.16</v>
      </c>
      <c r="I39" s="75">
        <v>0.18</v>
      </c>
      <c r="J39" s="128">
        <f>D39-I39</f>
        <v>-7.9999999999999932E-2</v>
      </c>
      <c r="L39" s="137">
        <f>L19</f>
        <v>0.01</v>
      </c>
      <c r="M39" s="32"/>
      <c r="N39" s="143">
        <f>L39*D39</f>
        <v>1.0000000000000007E-3</v>
      </c>
      <c r="Q39" s="6"/>
      <c r="R39" s="7"/>
      <c r="S39" s="142" t="s">
        <v>46</v>
      </c>
      <c r="T39" s="165"/>
    </row>
    <row r="40" spans="2:25" ht="15.75" thickBot="1" x14ac:dyDescent="0.3">
      <c r="G40" s="75">
        <v>0.1</v>
      </c>
      <c r="H40" s="94"/>
      <c r="I40" s="94"/>
      <c r="N40" s="131"/>
      <c r="Q40" s="138">
        <f>Q20</f>
        <v>0.05</v>
      </c>
      <c r="R40" s="32"/>
      <c r="S40" s="143">
        <f>Q40*G40</f>
        <v>5.000000000000001E-3</v>
      </c>
      <c r="T40" s="165"/>
    </row>
    <row r="41" spans="2:25" x14ac:dyDescent="0.25">
      <c r="D41" s="164">
        <f>D33+D29+D26</f>
        <v>0.89999999999999991</v>
      </c>
      <c r="H41" s="94"/>
      <c r="I41" s="94"/>
      <c r="N41" s="131"/>
      <c r="S41" s="131"/>
      <c r="T41" s="131"/>
    </row>
    <row r="42" spans="2:25" ht="15.75" thickBot="1" x14ac:dyDescent="0.3">
      <c r="H42" s="94"/>
      <c r="I42" s="94"/>
      <c r="J42" s="94"/>
      <c r="N42" s="131"/>
      <c r="S42" s="131"/>
      <c r="T42" s="131"/>
    </row>
    <row r="43" spans="2:25" ht="19.5" thickBot="1" x14ac:dyDescent="0.35">
      <c r="B43" s="69" t="s">
        <v>14</v>
      </c>
      <c r="C43" s="70"/>
      <c r="D43" s="70"/>
      <c r="E43" s="70"/>
      <c r="F43" s="70"/>
      <c r="G43" s="71"/>
      <c r="H43" s="95"/>
      <c r="I43" s="95"/>
      <c r="J43" s="95"/>
      <c r="L43" s="9" t="s">
        <v>40</v>
      </c>
      <c r="M43" s="133"/>
      <c r="N43" s="134">
        <f>SUM(N46:N60)</f>
        <v>5.0900000000000008E-2</v>
      </c>
      <c r="Q43" s="9" t="str">
        <f>Q23</f>
        <v>Risk=</v>
      </c>
      <c r="R43" s="133"/>
      <c r="S43" s="134">
        <f>SUM(S46:S61)</f>
        <v>0.10110000000000002</v>
      </c>
      <c r="Y43" s="131">
        <f>D46/C46</f>
        <v>0.6714285714285716</v>
      </c>
    </row>
    <row r="44" spans="2:25" ht="19.5" thickBot="1" x14ac:dyDescent="0.35">
      <c r="B44" s="72"/>
      <c r="C44" s="73"/>
      <c r="D44" s="73"/>
      <c r="E44" s="73"/>
      <c r="F44" s="73"/>
      <c r="G44" s="74"/>
      <c r="H44" s="110" t="str">
        <f>H24</f>
        <v>Q2</v>
      </c>
      <c r="I44" s="111" t="str">
        <f>I24</f>
        <v>Q3</v>
      </c>
      <c r="J44" s="111" t="str">
        <f>J24</f>
        <v xml:space="preserve">Delta (Q4-Q3) </v>
      </c>
      <c r="L44" s="149"/>
      <c r="M44" s="150"/>
      <c r="N44" s="152"/>
      <c r="Q44" s="149"/>
      <c r="R44" s="150"/>
      <c r="S44" s="151"/>
    </row>
    <row r="45" spans="2:25" ht="15.75" thickBot="1" x14ac:dyDescent="0.3">
      <c r="B45" s="48" t="s">
        <v>1</v>
      </c>
      <c r="C45" s="49"/>
      <c r="D45" s="19" t="str">
        <f>D25</f>
        <v>Q4 2016</v>
      </c>
      <c r="E45" s="19" t="s">
        <v>4</v>
      </c>
      <c r="F45" s="50" t="s">
        <v>5</v>
      </c>
      <c r="G45" s="50" t="s">
        <v>15</v>
      </c>
      <c r="H45" s="95"/>
      <c r="I45" s="95"/>
      <c r="J45" s="95"/>
      <c r="L45" s="1"/>
      <c r="M45" s="2"/>
      <c r="N45" s="141"/>
      <c r="Q45" s="162"/>
      <c r="R45" s="21"/>
      <c r="S45" s="163"/>
      <c r="T45" s="165"/>
    </row>
    <row r="46" spans="2:25" ht="15.75" thickBot="1" x14ac:dyDescent="0.3">
      <c r="B46" s="23" t="s">
        <v>2</v>
      </c>
      <c r="C46" s="85">
        <v>0.7</v>
      </c>
      <c r="D46" s="75">
        <f>SUM(F46:F51)</f>
        <v>0.47000000000000008</v>
      </c>
      <c r="E46" s="112" t="s">
        <v>49</v>
      </c>
      <c r="F46" s="45">
        <v>0.38</v>
      </c>
      <c r="G46" s="35"/>
      <c r="H46" s="91">
        <v>0.42</v>
      </c>
      <c r="I46" s="91">
        <v>0.42</v>
      </c>
      <c r="J46" s="96">
        <f t="shared" ref="J46:J59" si="8">F46-H46</f>
        <v>-3.999999999999998E-2</v>
      </c>
      <c r="L46" s="147">
        <f>L26</f>
        <v>0.06</v>
      </c>
      <c r="M46" s="2"/>
      <c r="N46" s="141">
        <f t="shared" ref="N46:N59" si="9">L46*F46</f>
        <v>2.2800000000000001E-2</v>
      </c>
      <c r="Q46" s="132">
        <f>Q8</f>
        <v>0.15</v>
      </c>
      <c r="R46" s="2"/>
      <c r="S46" s="141">
        <f t="shared" ref="S46:S59" si="10">Q46*F46</f>
        <v>5.6999999999999995E-2</v>
      </c>
      <c r="T46" s="165"/>
      <c r="V46" s="166" t="s">
        <v>60</v>
      </c>
      <c r="W46" s="167" t="s">
        <v>67</v>
      </c>
    </row>
    <row r="47" spans="2:25" ht="19.5" thickBot="1" x14ac:dyDescent="0.35">
      <c r="B47" s="53"/>
      <c r="C47" s="76"/>
      <c r="D47" s="82"/>
      <c r="E47" s="25" t="s">
        <v>7</v>
      </c>
      <c r="F47" s="44">
        <v>0</v>
      </c>
      <c r="G47" s="43"/>
      <c r="H47" s="100">
        <v>0.06</v>
      </c>
      <c r="I47" s="91">
        <v>0.06</v>
      </c>
      <c r="J47" s="96">
        <f t="shared" si="8"/>
        <v>-0.06</v>
      </c>
      <c r="L47" s="147">
        <f>L28</f>
        <v>0.03</v>
      </c>
      <c r="M47" s="2"/>
      <c r="N47" s="141">
        <f t="shared" si="9"/>
        <v>0</v>
      </c>
      <c r="Q47" s="132">
        <f>Q9</f>
        <v>0.1</v>
      </c>
      <c r="R47" s="2"/>
      <c r="S47" s="141">
        <f t="shared" si="10"/>
        <v>0</v>
      </c>
      <c r="T47" s="165"/>
      <c r="V47" s="168" t="s">
        <v>62</v>
      </c>
      <c r="W47" s="171">
        <v>-6.9599999999999995E-2</v>
      </c>
    </row>
    <row r="48" spans="2:25" ht="15.75" thickBot="1" x14ac:dyDescent="0.3">
      <c r="B48" s="53"/>
      <c r="C48" s="76"/>
      <c r="D48" s="98"/>
      <c r="E48" s="25" t="s">
        <v>22</v>
      </c>
      <c r="F48" s="44">
        <v>0.03</v>
      </c>
      <c r="G48" s="43"/>
      <c r="H48" s="100">
        <v>0.03</v>
      </c>
      <c r="I48" s="91">
        <v>0.04</v>
      </c>
      <c r="J48" s="96">
        <f t="shared" si="8"/>
        <v>0</v>
      </c>
      <c r="L48" s="147">
        <f>L27</f>
        <v>0.08</v>
      </c>
      <c r="M48" s="2"/>
      <c r="N48" s="141">
        <f t="shared" si="9"/>
        <v>2.3999999999999998E-3</v>
      </c>
      <c r="Q48" s="132">
        <f>Q27</f>
        <v>0.2</v>
      </c>
      <c r="R48" s="2"/>
      <c r="S48" s="141">
        <f t="shared" si="10"/>
        <v>6.0000000000000001E-3</v>
      </c>
      <c r="T48" s="165"/>
      <c r="V48" s="168"/>
      <c r="W48" s="169"/>
    </row>
    <row r="49" spans="2:36" ht="15.75" thickBot="1" x14ac:dyDescent="0.3">
      <c r="B49" s="53"/>
      <c r="C49" s="76"/>
      <c r="D49" s="98"/>
      <c r="E49" s="25" t="s">
        <v>16</v>
      </c>
      <c r="F49" s="44">
        <v>0.03</v>
      </c>
      <c r="G49" s="43"/>
      <c r="H49" s="100">
        <v>0.03</v>
      </c>
      <c r="I49" s="91">
        <v>0.04</v>
      </c>
      <c r="J49" s="96">
        <f t="shared" si="8"/>
        <v>0</v>
      </c>
      <c r="L49" s="147">
        <v>0.08</v>
      </c>
      <c r="M49" s="2"/>
      <c r="N49" s="141">
        <f t="shared" si="9"/>
        <v>2.3999999999999998E-3</v>
      </c>
      <c r="Q49" s="132">
        <v>0.15</v>
      </c>
      <c r="R49" s="2"/>
      <c r="S49" s="141">
        <f t="shared" si="10"/>
        <v>4.4999999999999997E-3</v>
      </c>
      <c r="T49" s="165"/>
      <c r="V49" s="168" t="s">
        <v>63</v>
      </c>
      <c r="W49" s="169" t="s">
        <v>64</v>
      </c>
    </row>
    <row r="50" spans="2:36" ht="19.5" thickBot="1" x14ac:dyDescent="0.35">
      <c r="B50" s="53"/>
      <c r="C50" s="76"/>
      <c r="D50" s="98"/>
      <c r="E50" s="25" t="s">
        <v>25</v>
      </c>
      <c r="F50" s="44">
        <v>0</v>
      </c>
      <c r="G50" s="43"/>
      <c r="H50" s="102">
        <f>'Q2 16'!I42</f>
        <v>0.04</v>
      </c>
      <c r="I50" s="91">
        <v>0.03</v>
      </c>
      <c r="J50" s="96">
        <f t="shared" si="8"/>
        <v>-0.04</v>
      </c>
      <c r="L50" s="147"/>
      <c r="M50" s="2"/>
      <c r="N50" s="141">
        <f t="shared" si="9"/>
        <v>0</v>
      </c>
      <c r="Q50" s="1"/>
      <c r="R50" s="2"/>
      <c r="S50" s="141">
        <f t="shared" si="10"/>
        <v>0</v>
      </c>
      <c r="T50" s="165"/>
      <c r="V50" s="168"/>
      <c r="W50" s="171">
        <v>-6.8900000000000003E-2</v>
      </c>
    </row>
    <row r="51" spans="2:36" ht="15.75" thickBot="1" x14ac:dyDescent="0.3">
      <c r="B51" s="54"/>
      <c r="C51" s="77"/>
      <c r="D51" s="81"/>
      <c r="E51" s="26" t="s">
        <v>17</v>
      </c>
      <c r="F51" s="39">
        <v>0.03</v>
      </c>
      <c r="G51" s="38"/>
      <c r="H51" s="93">
        <v>0.03</v>
      </c>
      <c r="I51" s="91">
        <v>0.04</v>
      </c>
      <c r="J51" s="96">
        <f t="shared" si="8"/>
        <v>0</v>
      </c>
      <c r="L51" s="147">
        <v>0.08</v>
      </c>
      <c r="M51" s="2"/>
      <c r="N51" s="141">
        <f t="shared" si="9"/>
        <v>2.3999999999999998E-3</v>
      </c>
      <c r="Q51" s="132">
        <v>0.15</v>
      </c>
      <c r="R51" s="2"/>
      <c r="S51" s="141">
        <f t="shared" si="10"/>
        <v>4.4999999999999997E-3</v>
      </c>
      <c r="T51" s="165"/>
      <c r="V51" s="168"/>
      <c r="W51" s="169"/>
    </row>
    <row r="52" spans="2:36" ht="15.75" thickBot="1" x14ac:dyDescent="0.3">
      <c r="B52" s="23" t="s">
        <v>3</v>
      </c>
      <c r="C52" s="86">
        <v>0.5</v>
      </c>
      <c r="D52" s="75">
        <f>F52+F53</f>
        <v>0.18</v>
      </c>
      <c r="E52" s="114" t="s">
        <v>50</v>
      </c>
      <c r="F52" s="45">
        <v>0.18</v>
      </c>
      <c r="G52" s="35"/>
      <c r="H52" s="91">
        <f>'Q2 16'!I46</f>
        <v>0.15</v>
      </c>
      <c r="I52" s="91">
        <v>0.18</v>
      </c>
      <c r="J52" s="146">
        <f t="shared" si="8"/>
        <v>0.03</v>
      </c>
      <c r="L52" s="147">
        <f>L29</f>
        <v>3.5000000000000003E-2</v>
      </c>
      <c r="M52" s="2"/>
      <c r="N52" s="141">
        <f t="shared" si="9"/>
        <v>6.3E-3</v>
      </c>
      <c r="Q52" s="132">
        <f>Q10</f>
        <v>5.5E-2</v>
      </c>
      <c r="R52" s="2"/>
      <c r="S52" s="141">
        <f t="shared" si="10"/>
        <v>9.8999999999999991E-3</v>
      </c>
      <c r="T52" s="165"/>
      <c r="V52" s="168" t="s">
        <v>65</v>
      </c>
      <c r="W52" s="169" t="s">
        <v>66</v>
      </c>
    </row>
    <row r="53" spans="2:36" ht="19.5" thickBot="1" x14ac:dyDescent="0.35">
      <c r="B53" s="54"/>
      <c r="C53" s="78"/>
      <c r="D53" s="81"/>
      <c r="E53" s="115" t="s">
        <v>52</v>
      </c>
      <c r="F53" s="37">
        <v>0</v>
      </c>
      <c r="G53" s="38"/>
      <c r="H53" s="101">
        <f>'Q2 16'!I47</f>
        <v>0</v>
      </c>
      <c r="I53" s="91">
        <v>0</v>
      </c>
      <c r="J53" s="96">
        <f t="shared" si="8"/>
        <v>0</v>
      </c>
      <c r="L53" s="147">
        <f>L30</f>
        <v>2.5000000000000001E-2</v>
      </c>
      <c r="M53" s="2"/>
      <c r="N53" s="141">
        <f t="shared" si="9"/>
        <v>0</v>
      </c>
      <c r="Q53" s="132">
        <f>Q30</f>
        <v>0.08</v>
      </c>
      <c r="R53" s="2"/>
      <c r="S53" s="141">
        <f t="shared" si="10"/>
        <v>0</v>
      </c>
      <c r="T53" s="165"/>
      <c r="V53" s="170"/>
      <c r="W53" s="175">
        <v>-6.7400000000000002E-2</v>
      </c>
    </row>
    <row r="54" spans="2:36" ht="15.75" thickBot="1" x14ac:dyDescent="0.3">
      <c r="B54" s="23" t="s">
        <v>10</v>
      </c>
      <c r="C54" s="144">
        <v>0.3</v>
      </c>
      <c r="D54" s="75">
        <f>SUM(F54:F59)</f>
        <v>0.26</v>
      </c>
      <c r="E54" s="153" t="s">
        <v>23</v>
      </c>
      <c r="F54" s="45">
        <v>0.05</v>
      </c>
      <c r="G54" s="35"/>
      <c r="H54" s="91">
        <f>'Q2 16'!I48</f>
        <v>0.05</v>
      </c>
      <c r="I54" s="91">
        <v>0.05</v>
      </c>
      <c r="J54" s="96">
        <f t="shared" si="8"/>
        <v>0</v>
      </c>
      <c r="L54" s="147">
        <f>L35</f>
        <v>0.05</v>
      </c>
      <c r="M54" s="2"/>
      <c r="N54" s="141">
        <f t="shared" si="9"/>
        <v>2.5000000000000005E-3</v>
      </c>
      <c r="Q54" s="132">
        <f>Q17</f>
        <v>0.04</v>
      </c>
      <c r="R54" s="2"/>
      <c r="S54" s="141">
        <f t="shared" si="10"/>
        <v>2E-3</v>
      </c>
      <c r="T54" s="165"/>
    </row>
    <row r="55" spans="2:36" ht="15.75" thickBot="1" x14ac:dyDescent="0.3">
      <c r="B55" s="53"/>
      <c r="C55" s="89"/>
      <c r="D55" s="154"/>
      <c r="E55" s="155" t="s">
        <v>55</v>
      </c>
      <c r="F55" s="122">
        <v>0.05</v>
      </c>
      <c r="G55" s="43"/>
      <c r="H55" s="92">
        <f>'Q2 16'!I49</f>
        <v>0</v>
      </c>
      <c r="I55" s="91">
        <v>0.03</v>
      </c>
      <c r="J55" s="146">
        <f t="shared" si="8"/>
        <v>0.05</v>
      </c>
      <c r="L55" s="147">
        <f>L33</f>
        <v>0.1</v>
      </c>
      <c r="M55" s="2"/>
      <c r="N55" s="141">
        <f t="shared" si="9"/>
        <v>5.000000000000001E-3</v>
      </c>
      <c r="Q55" s="132">
        <f>Q33</f>
        <v>0.1</v>
      </c>
      <c r="R55" s="2"/>
      <c r="S55" s="141">
        <f t="shared" si="10"/>
        <v>5.000000000000001E-3</v>
      </c>
      <c r="T55" s="165"/>
    </row>
    <row r="56" spans="2:36" ht="15.75" thickBot="1" x14ac:dyDescent="0.3">
      <c r="B56" s="53"/>
      <c r="C56" s="89"/>
      <c r="D56" s="82"/>
      <c r="E56" s="145" t="s">
        <v>18</v>
      </c>
      <c r="F56" s="44">
        <v>0.06</v>
      </c>
      <c r="G56" s="33"/>
      <c r="H56" s="100">
        <f>'Q2 16'!I50</f>
        <v>0.04</v>
      </c>
      <c r="I56" s="91">
        <v>0.06</v>
      </c>
      <c r="J56" s="146">
        <f t="shared" si="8"/>
        <v>1.9999999999999997E-2</v>
      </c>
      <c r="L56" s="147">
        <f>L34</f>
        <v>0.02</v>
      </c>
      <c r="M56" s="2"/>
      <c r="N56" s="141">
        <f t="shared" si="9"/>
        <v>1.1999999999999999E-3</v>
      </c>
      <c r="Q56" s="132">
        <f>Q15</f>
        <v>0.02</v>
      </c>
      <c r="R56" s="2"/>
      <c r="S56" s="141">
        <f t="shared" si="10"/>
        <v>1.1999999999999999E-3</v>
      </c>
      <c r="T56" s="165"/>
    </row>
    <row r="57" spans="2:36" ht="15.75" thickBot="1" x14ac:dyDescent="0.3">
      <c r="B57" s="53"/>
      <c r="C57" s="89"/>
      <c r="D57" s="98"/>
      <c r="E57" s="118" t="s">
        <v>39</v>
      </c>
      <c r="F57" s="44">
        <v>0</v>
      </c>
      <c r="G57" s="33"/>
      <c r="H57" s="100">
        <v>0</v>
      </c>
      <c r="I57" s="91">
        <v>0.05</v>
      </c>
      <c r="J57" s="146">
        <f t="shared" si="8"/>
        <v>0</v>
      </c>
      <c r="L57" s="147">
        <f>L38</f>
        <v>0.05</v>
      </c>
      <c r="M57" s="2"/>
      <c r="N57" s="141">
        <f t="shared" si="9"/>
        <v>0</v>
      </c>
      <c r="Q57" s="132">
        <f>Q38</f>
        <v>0.15</v>
      </c>
      <c r="R57" s="2"/>
      <c r="S57" s="141">
        <f t="shared" si="10"/>
        <v>0</v>
      </c>
      <c r="T57" s="165"/>
    </row>
    <row r="58" spans="2:36" ht="15.75" thickBot="1" x14ac:dyDescent="0.3">
      <c r="B58" s="53"/>
      <c r="C58" s="89"/>
      <c r="D58" s="98"/>
      <c r="E58" s="30" t="s">
        <v>56</v>
      </c>
      <c r="F58" s="44">
        <v>0.05</v>
      </c>
      <c r="G58" s="43"/>
      <c r="H58" s="100">
        <v>0</v>
      </c>
      <c r="I58" s="91">
        <v>0</v>
      </c>
      <c r="J58" s="96">
        <f t="shared" si="8"/>
        <v>0.05</v>
      </c>
      <c r="L58" s="147">
        <f>L36</f>
        <v>0.05</v>
      </c>
      <c r="M58" s="2"/>
      <c r="N58" s="141">
        <f t="shared" si="9"/>
        <v>2.5000000000000005E-3</v>
      </c>
      <c r="Q58" s="132">
        <f>Q36</f>
        <v>0.05</v>
      </c>
      <c r="R58" s="2"/>
      <c r="S58" s="141">
        <f t="shared" si="10"/>
        <v>2.5000000000000005E-3</v>
      </c>
      <c r="T58" s="165"/>
    </row>
    <row r="59" spans="2:36" ht="24" thickBot="1" x14ac:dyDescent="0.4">
      <c r="B59" s="54"/>
      <c r="C59" s="88"/>
      <c r="D59" s="82"/>
      <c r="E59" s="145" t="s">
        <v>13</v>
      </c>
      <c r="F59" s="122">
        <v>0.05</v>
      </c>
      <c r="G59" s="38"/>
      <c r="H59" s="92">
        <f>'Q2 16'!I52</f>
        <v>0.05</v>
      </c>
      <c r="I59" s="91">
        <v>0.05</v>
      </c>
      <c r="J59" s="96">
        <f t="shared" si="8"/>
        <v>0</v>
      </c>
      <c r="L59" s="147">
        <f>L37</f>
        <v>0.05</v>
      </c>
      <c r="M59" s="2"/>
      <c r="N59" s="141">
        <f t="shared" si="9"/>
        <v>2.5000000000000005E-3</v>
      </c>
      <c r="Q59" s="132">
        <f>Q37</f>
        <v>0.05</v>
      </c>
      <c r="R59" s="2"/>
      <c r="S59" s="141">
        <f t="shared" si="10"/>
        <v>2.5000000000000005E-3</v>
      </c>
      <c r="T59" s="165"/>
      <c r="AH59" s="139"/>
      <c r="AI59" s="140" t="s">
        <v>42</v>
      </c>
      <c r="AJ59" s="140"/>
    </row>
    <row r="60" spans="2:36" ht="15.75" thickBot="1" x14ac:dyDescent="0.3">
      <c r="B60" s="23" t="s">
        <v>11</v>
      </c>
      <c r="C60" s="86">
        <v>1</v>
      </c>
      <c r="D60" s="87">
        <f>100%-D54-D52-D46</f>
        <v>8.9999999999999969E-2</v>
      </c>
      <c r="E60" s="7"/>
      <c r="F60" s="40"/>
      <c r="H60" s="75">
        <v>0.05</v>
      </c>
      <c r="I60" s="75">
        <v>7.999999999999996E-2</v>
      </c>
      <c r="J60" s="148">
        <f>D60-I60</f>
        <v>1.0000000000000009E-2</v>
      </c>
      <c r="L60" s="137">
        <f>L39</f>
        <v>0.01</v>
      </c>
      <c r="M60" s="32"/>
      <c r="N60" s="143">
        <f>L60*D60</f>
        <v>8.9999999999999976E-4</v>
      </c>
      <c r="Q60" s="1"/>
      <c r="R60" s="2"/>
      <c r="S60" s="3"/>
      <c r="T60" s="2"/>
    </row>
    <row r="61" spans="2:36" ht="15.75" thickBot="1" x14ac:dyDescent="0.3">
      <c r="G61" s="75">
        <v>0.12</v>
      </c>
      <c r="N61" s="131"/>
      <c r="Q61" s="138">
        <f>Q40</f>
        <v>0.05</v>
      </c>
      <c r="R61" s="32"/>
      <c r="S61" s="143">
        <f>Q61*G61</f>
        <v>6.0000000000000001E-3</v>
      </c>
      <c r="T61" s="165"/>
    </row>
    <row r="62" spans="2:36" x14ac:dyDescent="0.25">
      <c r="N62" s="131"/>
    </row>
    <row r="63" spans="2:36" x14ac:dyDescent="0.25">
      <c r="N63" s="131"/>
    </row>
    <row r="64" spans="2:36" x14ac:dyDescent="0.25">
      <c r="N64" s="131"/>
    </row>
    <row r="65" spans="14:14" x14ac:dyDescent="0.25">
      <c r="N65" s="131"/>
    </row>
    <row r="66" spans="14:14" x14ac:dyDescent="0.25">
      <c r="N66" s="131"/>
    </row>
    <row r="67" spans="14:14" x14ac:dyDescent="0.25">
      <c r="N67" s="131"/>
    </row>
    <row r="68" spans="14:14" x14ac:dyDescent="0.25">
      <c r="N68" s="131"/>
    </row>
    <row r="69" spans="14:14" x14ac:dyDescent="0.25">
      <c r="N69" s="131"/>
    </row>
    <row r="70" spans="14:14" x14ac:dyDescent="0.25">
      <c r="N70" s="131"/>
    </row>
    <row r="71" spans="14:14" x14ac:dyDescent="0.25">
      <c r="N71" s="131"/>
    </row>
  </sheetData>
  <pageMargins left="0.7" right="0.7" top="0.75" bottom="0.75" header="0.3" footer="0.3"/>
  <pageSetup paperSize="9" scale="66" fitToHeight="0" orientation="landscape" r:id="rId1"/>
  <rowBreaks count="1" manualBreakCount="1">
    <brk id="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62"/>
  <sheetViews>
    <sheetView topLeftCell="A28" workbookViewId="0">
      <selection activeCell="I42" sqref="I42"/>
    </sheetView>
  </sheetViews>
  <sheetFormatPr defaultRowHeight="15" x14ac:dyDescent="0.25"/>
  <cols>
    <col min="2" max="2" width="21.85546875" customWidth="1"/>
    <col min="5" max="5" width="16.42578125" customWidth="1"/>
    <col min="8" max="8" width="12.5703125" customWidth="1"/>
    <col min="11" max="11" width="14.28515625" customWidth="1"/>
    <col min="20" max="20" width="10.42578125" customWidth="1"/>
  </cols>
  <sheetData>
    <row r="1" spans="2:20" ht="23.25" x14ac:dyDescent="0.35">
      <c r="R1" s="139"/>
      <c r="S1" s="140" t="s">
        <v>42</v>
      </c>
      <c r="T1" s="140"/>
    </row>
    <row r="2" spans="2:20" ht="24" thickBot="1" x14ac:dyDescent="0.4">
      <c r="N2" s="139" t="s">
        <v>41</v>
      </c>
      <c r="R2" s="139"/>
      <c r="S2" s="140" t="s">
        <v>43</v>
      </c>
      <c r="T2" s="140"/>
    </row>
    <row r="3" spans="2:20" ht="24" thickBot="1" x14ac:dyDescent="0.4">
      <c r="B3" s="51" t="s">
        <v>71</v>
      </c>
      <c r="C3" s="52"/>
      <c r="R3" s="139"/>
      <c r="S3" s="140" t="s">
        <v>54</v>
      </c>
      <c r="T3" s="140"/>
    </row>
    <row r="4" spans="2:20" ht="19.5" thickBot="1" x14ac:dyDescent="0.35">
      <c r="M4" s="9" t="s">
        <v>40</v>
      </c>
      <c r="N4" s="133"/>
      <c r="O4" s="134">
        <f>SUM(O8:O20)</f>
        <v>3.7400000000000003E-2</v>
      </c>
      <c r="R4" s="9" t="s">
        <v>45</v>
      </c>
      <c r="S4" s="133"/>
      <c r="T4" s="134">
        <f>SUM(T8:T20)</f>
        <v>6.4600000000000005E-2</v>
      </c>
    </row>
    <row r="5" spans="2:20" ht="19.5" thickBot="1" x14ac:dyDescent="0.35">
      <c r="B5" s="63" t="s">
        <v>0</v>
      </c>
      <c r="C5" s="64"/>
      <c r="D5" s="64"/>
      <c r="E5" s="64"/>
      <c r="F5" s="64"/>
      <c r="G5" s="65"/>
      <c r="H5" s="33"/>
      <c r="I5" s="33"/>
      <c r="J5" s="33"/>
      <c r="K5" s="33"/>
      <c r="M5" s="149"/>
      <c r="N5" s="150"/>
      <c r="O5" s="151"/>
      <c r="R5" s="149"/>
      <c r="S5" s="150"/>
      <c r="T5" s="151"/>
    </row>
    <row r="6" spans="2:20" ht="15.75" thickBot="1" x14ac:dyDescent="0.3">
      <c r="B6" s="66"/>
      <c r="C6" s="67"/>
      <c r="D6" s="67"/>
      <c r="E6" s="67"/>
      <c r="F6" s="67"/>
      <c r="G6" s="68"/>
      <c r="H6" s="106" t="s">
        <v>31</v>
      </c>
      <c r="I6" s="106" t="s">
        <v>37</v>
      </c>
      <c r="J6" s="106" t="s">
        <v>68</v>
      </c>
      <c r="K6" s="107" t="s">
        <v>69</v>
      </c>
      <c r="M6" s="1"/>
      <c r="N6" s="2"/>
      <c r="O6" s="3"/>
      <c r="R6" s="1"/>
      <c r="S6" s="2"/>
      <c r="T6" s="3"/>
    </row>
    <row r="7" spans="2:20" ht="15.75" thickBot="1" x14ac:dyDescent="0.3">
      <c r="B7" s="48" t="s">
        <v>1</v>
      </c>
      <c r="C7" s="49"/>
      <c r="D7" s="19" t="s">
        <v>70</v>
      </c>
      <c r="E7" s="19" t="s">
        <v>4</v>
      </c>
      <c r="F7" s="50" t="s">
        <v>5</v>
      </c>
      <c r="G7" s="50" t="s">
        <v>15</v>
      </c>
      <c r="H7" s="33"/>
      <c r="I7" s="33"/>
      <c r="J7" s="33"/>
      <c r="K7" s="33"/>
      <c r="M7" s="1"/>
      <c r="N7" s="2"/>
      <c r="O7" s="3"/>
      <c r="R7" s="1"/>
      <c r="S7" s="2"/>
      <c r="T7" s="3"/>
    </row>
    <row r="8" spans="2:20" ht="15.75" thickBot="1" x14ac:dyDescent="0.3">
      <c r="B8" s="80" t="s">
        <v>2</v>
      </c>
      <c r="C8" s="85">
        <v>0.2</v>
      </c>
      <c r="D8" s="75">
        <f>F8+F9</f>
        <v>0.15</v>
      </c>
      <c r="E8" s="112" t="s">
        <v>49</v>
      </c>
      <c r="F8" s="34">
        <v>0.15</v>
      </c>
      <c r="G8" s="35"/>
      <c r="H8" s="91">
        <f>'Q2 16'!F7</f>
        <v>0.1</v>
      </c>
      <c r="I8" s="123">
        <v>0.11</v>
      </c>
      <c r="J8" s="123">
        <v>0.11</v>
      </c>
      <c r="K8" s="148">
        <f>F8-J8</f>
        <v>3.9999999999999994E-2</v>
      </c>
      <c r="M8" s="147">
        <v>0.06</v>
      </c>
      <c r="N8" s="2"/>
      <c r="O8" s="141">
        <f t="shared" ref="O8:O18" si="0">M8*F8</f>
        <v>8.9999999999999993E-3</v>
      </c>
      <c r="R8" s="132">
        <v>0.15</v>
      </c>
      <c r="S8" s="2"/>
      <c r="T8" s="141">
        <f t="shared" ref="T8:T18" si="1">R8*F8</f>
        <v>2.2499999999999999E-2</v>
      </c>
    </row>
    <row r="9" spans="2:20" ht="15.75" thickBot="1" x14ac:dyDescent="0.3">
      <c r="B9" s="81"/>
      <c r="C9" s="77"/>
      <c r="D9" s="88"/>
      <c r="E9" s="113" t="s">
        <v>7</v>
      </c>
      <c r="F9" s="39">
        <v>0</v>
      </c>
      <c r="G9" s="38"/>
      <c r="H9" s="91">
        <f>'Q2 16'!F8</f>
        <v>0.06</v>
      </c>
      <c r="I9" s="123">
        <v>0.05</v>
      </c>
      <c r="J9" s="123">
        <v>0</v>
      </c>
      <c r="K9" s="96">
        <f t="shared" ref="K9:K18" si="2">F9-J9</f>
        <v>0</v>
      </c>
      <c r="M9" s="147">
        <v>0.03</v>
      </c>
      <c r="N9" s="2"/>
      <c r="O9" s="141">
        <f t="shared" si="0"/>
        <v>0</v>
      </c>
      <c r="R9" s="132">
        <v>0.1</v>
      </c>
      <c r="S9" s="2"/>
      <c r="T9" s="141">
        <f t="shared" si="1"/>
        <v>0</v>
      </c>
    </row>
    <row r="10" spans="2:20" ht="15.75" thickBot="1" x14ac:dyDescent="0.3">
      <c r="B10" s="80" t="s">
        <v>3</v>
      </c>
      <c r="C10" s="86">
        <v>1</v>
      </c>
      <c r="D10" s="75">
        <f>SUM(F10:F13)</f>
        <v>0.56000000000000005</v>
      </c>
      <c r="E10" s="114" t="s">
        <v>50</v>
      </c>
      <c r="F10" s="34">
        <v>0.4</v>
      </c>
      <c r="G10" s="35"/>
      <c r="H10" s="91">
        <f>'Q2 16'!F9</f>
        <v>0.37</v>
      </c>
      <c r="I10" s="123">
        <v>0.37</v>
      </c>
      <c r="J10" s="123">
        <v>0.37</v>
      </c>
      <c r="K10" s="148">
        <f t="shared" si="2"/>
        <v>3.0000000000000027E-2</v>
      </c>
      <c r="M10" s="147">
        <v>3.5000000000000003E-2</v>
      </c>
      <c r="N10" s="2"/>
      <c r="O10" s="141">
        <f t="shared" si="0"/>
        <v>1.4000000000000002E-2</v>
      </c>
      <c r="R10" s="132">
        <v>5.5E-2</v>
      </c>
      <c r="S10" s="2"/>
      <c r="T10" s="141">
        <f t="shared" si="1"/>
        <v>2.2000000000000002E-2</v>
      </c>
    </row>
    <row r="11" spans="2:20" ht="15.75" thickBot="1" x14ac:dyDescent="0.3">
      <c r="B11" s="82"/>
      <c r="C11" s="79"/>
      <c r="D11" s="89"/>
      <c r="E11" s="115" t="s">
        <v>52</v>
      </c>
      <c r="F11" s="44">
        <v>0.06</v>
      </c>
      <c r="G11" s="43"/>
      <c r="H11" s="91">
        <f>'Q2 16'!F10</f>
        <v>0.05</v>
      </c>
      <c r="I11" s="123">
        <v>0</v>
      </c>
      <c r="J11" s="123">
        <v>0.06</v>
      </c>
      <c r="K11" s="96">
        <f t="shared" si="2"/>
        <v>0</v>
      </c>
      <c r="M11" s="147">
        <v>2.5000000000000001E-2</v>
      </c>
      <c r="N11" s="2"/>
      <c r="O11" s="141">
        <f t="shared" si="0"/>
        <v>1.5E-3</v>
      </c>
      <c r="R11" s="132">
        <v>0.08</v>
      </c>
      <c r="S11" s="2"/>
      <c r="T11" s="141">
        <f t="shared" si="1"/>
        <v>4.7999999999999996E-3</v>
      </c>
    </row>
    <row r="12" spans="2:20" ht="15.75" thickBot="1" x14ac:dyDescent="0.3">
      <c r="B12" s="82"/>
      <c r="C12" s="79"/>
      <c r="D12" s="89"/>
      <c r="E12" s="129" t="s">
        <v>38</v>
      </c>
      <c r="F12" s="130">
        <v>0.05</v>
      </c>
      <c r="G12" s="43"/>
      <c r="H12" s="91">
        <v>0</v>
      </c>
      <c r="I12" s="123">
        <v>0.05</v>
      </c>
      <c r="J12" s="123">
        <v>0.05</v>
      </c>
      <c r="K12" s="96">
        <f t="shared" si="2"/>
        <v>0</v>
      </c>
      <c r="M12" s="147">
        <v>0.04</v>
      </c>
      <c r="N12" s="2"/>
      <c r="O12" s="141">
        <f t="shared" si="0"/>
        <v>2E-3</v>
      </c>
      <c r="R12" s="132">
        <v>0.02</v>
      </c>
      <c r="S12" s="2"/>
      <c r="T12" s="141">
        <f t="shared" si="1"/>
        <v>1E-3</v>
      </c>
    </row>
    <row r="13" spans="2:20" ht="15.75" thickBot="1" x14ac:dyDescent="0.3">
      <c r="B13" s="81"/>
      <c r="C13" s="78"/>
      <c r="D13" s="88"/>
      <c r="E13" s="116" t="s">
        <v>51</v>
      </c>
      <c r="F13" s="37">
        <v>0.05</v>
      </c>
      <c r="G13" s="38"/>
      <c r="H13" s="91">
        <f>'Q2 16'!F11</f>
        <v>0.1</v>
      </c>
      <c r="I13" s="123">
        <v>0.09</v>
      </c>
      <c r="J13" s="123">
        <v>0.05</v>
      </c>
      <c r="K13" s="96">
        <f t="shared" si="2"/>
        <v>0</v>
      </c>
      <c r="M13" s="147">
        <v>0.04</v>
      </c>
      <c r="N13" s="2"/>
      <c r="O13" s="141">
        <f t="shared" si="0"/>
        <v>2E-3</v>
      </c>
      <c r="R13" s="132">
        <v>0.1</v>
      </c>
      <c r="S13" s="2"/>
      <c r="T13" s="141">
        <f t="shared" si="1"/>
        <v>5.000000000000001E-3</v>
      </c>
    </row>
    <row r="14" spans="2:20" ht="15.75" thickBot="1" x14ac:dyDescent="0.3">
      <c r="B14" s="80" t="s">
        <v>10</v>
      </c>
      <c r="C14" s="86">
        <v>0.15</v>
      </c>
      <c r="D14" s="75">
        <f>SUM(F14:F18)</f>
        <v>0.14000000000000001</v>
      </c>
      <c r="E14" s="117" t="s">
        <v>55</v>
      </c>
      <c r="F14" s="45">
        <v>0</v>
      </c>
      <c r="G14" s="35"/>
      <c r="H14" s="91">
        <f>'Q2 16'!F12</f>
        <v>7.0000000000000007E-2</v>
      </c>
      <c r="I14" s="123">
        <v>0</v>
      </c>
      <c r="J14" s="123">
        <v>0.05</v>
      </c>
      <c r="K14" s="96">
        <f t="shared" si="2"/>
        <v>-0.05</v>
      </c>
      <c r="M14" s="147">
        <v>0.1</v>
      </c>
      <c r="N14" s="2"/>
      <c r="O14" s="141">
        <f t="shared" si="0"/>
        <v>0</v>
      </c>
      <c r="R14" s="132">
        <v>0.1</v>
      </c>
      <c r="S14" s="2"/>
      <c r="T14" s="141">
        <f t="shared" si="1"/>
        <v>0</v>
      </c>
    </row>
    <row r="15" spans="2:20" ht="15.75" thickBot="1" x14ac:dyDescent="0.3">
      <c r="B15" s="82"/>
      <c r="C15" s="79"/>
      <c r="D15" s="97"/>
      <c r="E15" s="115" t="s">
        <v>18</v>
      </c>
      <c r="F15" s="44">
        <v>0.08</v>
      </c>
      <c r="G15" s="43"/>
      <c r="H15" s="91">
        <f>'Q2 16'!F13</f>
        <v>7.0000000000000007E-2</v>
      </c>
      <c r="I15" s="123">
        <v>7.0000000000000007E-2</v>
      </c>
      <c r="J15" s="123">
        <v>7.0000000000000007E-2</v>
      </c>
      <c r="K15" s="148">
        <f t="shared" si="2"/>
        <v>9.999999999999995E-3</v>
      </c>
      <c r="M15" s="147">
        <v>0.02</v>
      </c>
      <c r="N15" s="2"/>
      <c r="O15" s="141">
        <f t="shared" si="0"/>
        <v>1.6000000000000001E-3</v>
      </c>
      <c r="R15" s="132">
        <v>0.02</v>
      </c>
      <c r="S15" s="2"/>
      <c r="T15" s="141">
        <f t="shared" si="1"/>
        <v>1.6000000000000001E-3</v>
      </c>
    </row>
    <row r="16" spans="2:20" ht="15.75" thickBot="1" x14ac:dyDescent="0.3">
      <c r="B16" s="82"/>
      <c r="C16" s="79"/>
      <c r="D16" s="97"/>
      <c r="E16" s="115" t="s">
        <v>56</v>
      </c>
      <c r="F16" s="44">
        <v>0.03</v>
      </c>
      <c r="G16" s="43"/>
      <c r="H16" s="91">
        <v>0</v>
      </c>
      <c r="I16" s="123">
        <v>0</v>
      </c>
      <c r="J16" s="123">
        <v>0.03</v>
      </c>
      <c r="K16" s="96">
        <f t="shared" si="2"/>
        <v>0</v>
      </c>
      <c r="M16" s="147">
        <v>0.06</v>
      </c>
      <c r="N16" s="2"/>
      <c r="O16" s="141">
        <f t="shared" si="0"/>
        <v>1.8E-3</v>
      </c>
      <c r="R16" s="132">
        <v>0.05</v>
      </c>
      <c r="S16" s="2"/>
      <c r="T16" s="141">
        <f t="shared" si="1"/>
        <v>1.5E-3</v>
      </c>
    </row>
    <row r="17" spans="2:20" ht="15.75" thickBot="1" x14ac:dyDescent="0.3">
      <c r="B17" s="82"/>
      <c r="C17" s="79"/>
      <c r="D17" s="98"/>
      <c r="E17" s="118" t="s">
        <v>23</v>
      </c>
      <c r="F17" s="44">
        <v>0.03</v>
      </c>
      <c r="G17" s="43"/>
      <c r="H17" s="91">
        <f>'Q2 16'!F14</f>
        <v>0.03</v>
      </c>
      <c r="I17" s="123">
        <v>0.03</v>
      </c>
      <c r="J17" s="123">
        <v>0.03</v>
      </c>
      <c r="K17" s="96">
        <f t="shared" si="2"/>
        <v>0</v>
      </c>
      <c r="M17" s="147">
        <v>0.05</v>
      </c>
      <c r="N17" s="2"/>
      <c r="O17" s="141">
        <f t="shared" si="0"/>
        <v>1.5E-3</v>
      </c>
      <c r="R17" s="132">
        <v>0.04</v>
      </c>
      <c r="S17" s="2"/>
      <c r="T17" s="141">
        <f t="shared" si="1"/>
        <v>1.1999999999999999E-3</v>
      </c>
    </row>
    <row r="18" spans="2:20" ht="15.75" thickBot="1" x14ac:dyDescent="0.3">
      <c r="B18" s="81"/>
      <c r="C18" s="78"/>
      <c r="D18" s="99"/>
      <c r="E18" s="119" t="s">
        <v>39</v>
      </c>
      <c r="F18" s="39">
        <v>0</v>
      </c>
      <c r="G18" s="38"/>
      <c r="H18" s="91">
        <f>'Q2 16'!F15</f>
        <v>0</v>
      </c>
      <c r="I18" s="123">
        <v>0.03</v>
      </c>
      <c r="J18" s="123">
        <v>0</v>
      </c>
      <c r="K18" s="96">
        <f t="shared" si="2"/>
        <v>0</v>
      </c>
      <c r="M18" s="147">
        <v>0.05</v>
      </c>
      <c r="N18" s="2"/>
      <c r="O18" s="141">
        <f t="shared" si="0"/>
        <v>0</v>
      </c>
      <c r="R18" s="132">
        <v>0.04</v>
      </c>
      <c r="S18" s="2"/>
      <c r="T18" s="141">
        <f t="shared" si="1"/>
        <v>0</v>
      </c>
    </row>
    <row r="19" spans="2:20" ht="15.75" thickBot="1" x14ac:dyDescent="0.3">
      <c r="B19" s="80" t="s">
        <v>11</v>
      </c>
      <c r="C19" s="86">
        <v>1</v>
      </c>
      <c r="D19" s="90">
        <f>100%-D14-D10-D8</f>
        <v>0.14999999999999994</v>
      </c>
      <c r="E19" s="47"/>
      <c r="F19" s="46"/>
      <c r="H19" s="127">
        <f>'Q2 16'!F16</f>
        <v>0</v>
      </c>
      <c r="I19" s="127">
        <f>'Q3 16'!F18</f>
        <v>0</v>
      </c>
      <c r="J19" s="127">
        <f>'Q4 16'!D19</f>
        <v>0.17999999999999994</v>
      </c>
      <c r="K19" s="128">
        <f>D19-J19</f>
        <v>-0.03</v>
      </c>
      <c r="M19" s="147">
        <v>0.01</v>
      </c>
      <c r="N19" s="7"/>
      <c r="O19" s="142">
        <f>I19*M19</f>
        <v>0</v>
      </c>
      <c r="R19" s="132">
        <v>0.15</v>
      </c>
      <c r="S19" s="2"/>
      <c r="T19" s="141"/>
    </row>
    <row r="20" spans="2:20" ht="15.75" thickBot="1" x14ac:dyDescent="0.3">
      <c r="B20" s="89"/>
      <c r="D20" s="135"/>
      <c r="E20" s="43"/>
      <c r="F20" s="43"/>
      <c r="G20" s="75">
        <v>0.1</v>
      </c>
      <c r="H20" s="136"/>
      <c r="I20" s="136"/>
      <c r="J20" s="136"/>
      <c r="K20" s="136"/>
      <c r="L20" s="80" t="s">
        <v>44</v>
      </c>
      <c r="M20" s="137">
        <v>0.04</v>
      </c>
      <c r="N20" s="32"/>
      <c r="O20" s="143">
        <f>M20*G20</f>
        <v>4.0000000000000001E-3</v>
      </c>
      <c r="R20" s="138">
        <v>0.05</v>
      </c>
      <c r="S20" s="32"/>
      <c r="T20" s="143">
        <f>R20*G20</f>
        <v>5.000000000000001E-3</v>
      </c>
    </row>
    <row r="21" spans="2:20" x14ac:dyDescent="0.25">
      <c r="H21" s="94"/>
      <c r="I21" s="94"/>
      <c r="J21" s="94"/>
      <c r="K21" s="94"/>
      <c r="O21" s="131"/>
      <c r="T21" s="131"/>
    </row>
    <row r="22" spans="2:20" ht="15.75" thickBot="1" x14ac:dyDescent="0.3">
      <c r="H22" s="94"/>
      <c r="I22" s="94"/>
      <c r="J22" s="94"/>
      <c r="K22" s="94"/>
      <c r="O22" s="131"/>
      <c r="T22" s="131"/>
    </row>
    <row r="23" spans="2:20" ht="19.5" thickBot="1" x14ac:dyDescent="0.35">
      <c r="B23" s="57" t="s">
        <v>12</v>
      </c>
      <c r="C23" s="58"/>
      <c r="D23" s="58"/>
      <c r="E23" s="58"/>
      <c r="F23" s="58"/>
      <c r="G23" s="59"/>
      <c r="H23" s="95"/>
      <c r="I23" s="95"/>
      <c r="J23" s="95"/>
      <c r="K23" s="95"/>
      <c r="M23" s="9" t="s">
        <v>40</v>
      </c>
      <c r="N23" s="133"/>
      <c r="O23" s="134">
        <f>SUM(O26:O39)</f>
        <v>3.9900000000000012E-2</v>
      </c>
      <c r="R23" s="9" t="str">
        <f>R4</f>
        <v>Risk=</v>
      </c>
      <c r="S23" s="133"/>
      <c r="T23" s="134">
        <f>SUM(T26:T40)</f>
        <v>7.7550000000000008E-2</v>
      </c>
    </row>
    <row r="24" spans="2:20" ht="19.5" thickBot="1" x14ac:dyDescent="0.35">
      <c r="B24" s="60"/>
      <c r="C24" s="61"/>
      <c r="D24" s="61"/>
      <c r="E24" s="61"/>
      <c r="F24" s="61"/>
      <c r="G24" s="62"/>
      <c r="H24" s="108" t="str">
        <f>H6</f>
        <v>Q2</v>
      </c>
      <c r="I24" s="108" t="str">
        <f>I6</f>
        <v>Q3</v>
      </c>
      <c r="J24" s="108" t="s">
        <v>68</v>
      </c>
      <c r="K24" s="109" t="str">
        <f>K6</f>
        <v xml:space="preserve">Delta (Q4.1-Q4) </v>
      </c>
      <c r="M24" s="149"/>
      <c r="N24" s="150"/>
      <c r="O24" s="152"/>
      <c r="R24" s="149"/>
      <c r="S24" s="150"/>
      <c r="T24" s="151"/>
    </row>
    <row r="25" spans="2:20" ht="15.75" thickBot="1" x14ac:dyDescent="0.3">
      <c r="B25" s="48" t="s">
        <v>1</v>
      </c>
      <c r="C25" s="49"/>
      <c r="D25" s="19" t="str">
        <f>D7</f>
        <v>Q4.1 2016</v>
      </c>
      <c r="E25" s="19" t="s">
        <v>4</v>
      </c>
      <c r="F25" s="50" t="s">
        <v>5</v>
      </c>
      <c r="G25" s="50" t="s">
        <v>15</v>
      </c>
      <c r="H25" s="95"/>
      <c r="I25" s="33"/>
      <c r="J25" s="33"/>
      <c r="K25" s="95"/>
      <c r="M25" s="1"/>
      <c r="N25" s="2"/>
      <c r="O25" s="141"/>
      <c r="R25" s="1"/>
      <c r="S25" s="2"/>
      <c r="T25" s="141"/>
    </row>
    <row r="26" spans="2:20" ht="15.75" thickBot="1" x14ac:dyDescent="0.3">
      <c r="B26" s="23" t="s">
        <v>2</v>
      </c>
      <c r="C26" s="85">
        <v>0.3</v>
      </c>
      <c r="D26" s="75">
        <f>F26+F28+F27</f>
        <v>0.25</v>
      </c>
      <c r="E26" s="112" t="s">
        <v>49</v>
      </c>
      <c r="F26" s="34">
        <v>0.23</v>
      </c>
      <c r="G26" s="41"/>
      <c r="H26" s="91">
        <v>0.22</v>
      </c>
      <c r="I26" s="91">
        <v>0.18</v>
      </c>
      <c r="J26" s="91">
        <f>'Q4 16'!F26</f>
        <v>0.19</v>
      </c>
      <c r="K26" s="148">
        <f t="shared" ref="K26:K38" si="3">F26-J26</f>
        <v>4.0000000000000008E-2</v>
      </c>
      <c r="M26" s="147">
        <f>M8</f>
        <v>0.06</v>
      </c>
      <c r="N26" s="2"/>
      <c r="O26" s="141">
        <f t="shared" ref="O26:O38" si="4">M26*F26</f>
        <v>1.38E-2</v>
      </c>
      <c r="R26" s="132">
        <f>R8</f>
        <v>0.15</v>
      </c>
      <c r="S26" s="2"/>
      <c r="T26" s="141">
        <f t="shared" ref="T26:T38" si="5">R26*F26</f>
        <v>3.4500000000000003E-2</v>
      </c>
    </row>
    <row r="27" spans="2:20" ht="15.75" thickBot="1" x14ac:dyDescent="0.3">
      <c r="B27" s="53"/>
      <c r="C27" s="76"/>
      <c r="D27" s="103"/>
      <c r="E27" s="29" t="s">
        <v>22</v>
      </c>
      <c r="F27" s="44">
        <v>0.02</v>
      </c>
      <c r="G27" s="42"/>
      <c r="H27" s="100">
        <v>0.03</v>
      </c>
      <c r="I27" s="91">
        <v>0.02</v>
      </c>
      <c r="J27" s="91">
        <f>'Q4 16'!F27</f>
        <v>0.02</v>
      </c>
      <c r="K27" s="96">
        <f t="shared" si="3"/>
        <v>0</v>
      </c>
      <c r="M27" s="147">
        <v>0.08</v>
      </c>
      <c r="N27" s="2"/>
      <c r="O27" s="141">
        <f t="shared" si="4"/>
        <v>1.6000000000000001E-3</v>
      </c>
      <c r="R27" s="132">
        <v>0.2</v>
      </c>
      <c r="S27" s="2"/>
      <c r="T27" s="141">
        <f t="shared" si="5"/>
        <v>4.0000000000000001E-3</v>
      </c>
    </row>
    <row r="28" spans="2:20" ht="15.75" thickBot="1" x14ac:dyDescent="0.3">
      <c r="B28" s="54"/>
      <c r="C28" s="77"/>
      <c r="D28" s="81"/>
      <c r="E28" s="22" t="s">
        <v>7</v>
      </c>
      <c r="F28" s="37">
        <v>0</v>
      </c>
      <c r="G28" s="36"/>
      <c r="H28" s="92">
        <v>0.05</v>
      </c>
      <c r="I28" s="91">
        <v>0.03</v>
      </c>
      <c r="J28" s="91">
        <f>'Q4 16'!F28</f>
        <v>0</v>
      </c>
      <c r="K28" s="96">
        <f t="shared" si="3"/>
        <v>0</v>
      </c>
      <c r="M28" s="147">
        <f t="shared" ref="M28:M34" si="6">M9</f>
        <v>0.03</v>
      </c>
      <c r="N28" s="2"/>
      <c r="O28" s="141">
        <f t="shared" si="4"/>
        <v>0</v>
      </c>
      <c r="R28" s="132">
        <f t="shared" ref="R28:R34" si="7">R9</f>
        <v>0.1</v>
      </c>
      <c r="S28" s="2"/>
      <c r="T28" s="141">
        <f t="shared" si="5"/>
        <v>0</v>
      </c>
    </row>
    <row r="29" spans="2:20" ht="15.75" thickBot="1" x14ac:dyDescent="0.3">
      <c r="B29" s="23" t="s">
        <v>3</v>
      </c>
      <c r="C29" s="86">
        <v>0.8</v>
      </c>
      <c r="D29" s="75">
        <f>SUM(F29:F32)</f>
        <v>0.42999999999999994</v>
      </c>
      <c r="E29" s="114" t="s">
        <v>50</v>
      </c>
      <c r="F29" s="34">
        <v>0.31</v>
      </c>
      <c r="G29" s="41"/>
      <c r="H29" s="91">
        <v>0.3</v>
      </c>
      <c r="I29" s="91">
        <v>0.3</v>
      </c>
      <c r="J29" s="91">
        <f>'Q4 16'!F29</f>
        <v>0.3</v>
      </c>
      <c r="K29" s="148">
        <f t="shared" si="3"/>
        <v>1.0000000000000009E-2</v>
      </c>
      <c r="M29" s="147">
        <f t="shared" si="6"/>
        <v>3.5000000000000003E-2</v>
      </c>
      <c r="N29" s="2"/>
      <c r="O29" s="141">
        <f t="shared" si="4"/>
        <v>1.085E-2</v>
      </c>
      <c r="R29" s="132">
        <f t="shared" si="7"/>
        <v>5.5E-2</v>
      </c>
      <c r="S29" s="2"/>
      <c r="T29" s="141">
        <f t="shared" si="5"/>
        <v>1.7049999999999999E-2</v>
      </c>
    </row>
    <row r="30" spans="2:20" ht="15.75" thickBot="1" x14ac:dyDescent="0.3">
      <c r="B30" s="53"/>
      <c r="C30" s="79"/>
      <c r="D30" s="104"/>
      <c r="E30" s="115" t="s">
        <v>52</v>
      </c>
      <c r="F30" s="44">
        <v>0.03</v>
      </c>
      <c r="G30" s="42"/>
      <c r="H30" s="100">
        <v>7.0000000000000007E-2</v>
      </c>
      <c r="I30" s="91">
        <v>0</v>
      </c>
      <c r="J30" s="91">
        <f>'Q4 16'!F30</f>
        <v>0.03</v>
      </c>
      <c r="K30" s="96">
        <f t="shared" si="3"/>
        <v>0</v>
      </c>
      <c r="M30" s="147">
        <f t="shared" si="6"/>
        <v>2.5000000000000001E-2</v>
      </c>
      <c r="N30" s="2"/>
      <c r="O30" s="141">
        <f t="shared" si="4"/>
        <v>7.5000000000000002E-4</v>
      </c>
      <c r="R30" s="132">
        <f t="shared" si="7"/>
        <v>0.08</v>
      </c>
      <c r="S30" s="2"/>
      <c r="T30" s="141">
        <f t="shared" si="5"/>
        <v>2.3999999999999998E-3</v>
      </c>
    </row>
    <row r="31" spans="2:20" ht="15.75" thickBot="1" x14ac:dyDescent="0.3">
      <c r="B31" s="53"/>
      <c r="C31" s="79"/>
      <c r="D31" s="82"/>
      <c r="E31" s="129" t="s">
        <v>38</v>
      </c>
      <c r="F31" s="130">
        <v>0.04</v>
      </c>
      <c r="G31" s="42"/>
      <c r="H31" s="92">
        <v>0</v>
      </c>
      <c r="I31" s="91">
        <v>0.04</v>
      </c>
      <c r="J31" s="91">
        <f>'Q4 16'!F31</f>
        <v>0.04</v>
      </c>
      <c r="K31" s="96">
        <f t="shared" si="3"/>
        <v>0</v>
      </c>
      <c r="M31" s="147">
        <f t="shared" si="6"/>
        <v>0.04</v>
      </c>
      <c r="N31" s="2"/>
      <c r="O31" s="141">
        <f t="shared" si="4"/>
        <v>1.6000000000000001E-3</v>
      </c>
      <c r="R31" s="132">
        <f t="shared" si="7"/>
        <v>0.02</v>
      </c>
      <c r="S31" s="2"/>
      <c r="T31" s="141">
        <f t="shared" si="5"/>
        <v>8.0000000000000004E-4</v>
      </c>
    </row>
    <row r="32" spans="2:20" ht="15.75" thickBot="1" x14ac:dyDescent="0.3">
      <c r="B32" s="54"/>
      <c r="C32" s="78"/>
      <c r="D32" s="81"/>
      <c r="E32" s="116" t="s">
        <v>51</v>
      </c>
      <c r="F32" s="37">
        <v>0.05</v>
      </c>
      <c r="G32" s="36"/>
      <c r="H32" s="93">
        <v>0.05</v>
      </c>
      <c r="I32" s="91">
        <v>7.0000000000000007E-2</v>
      </c>
      <c r="J32" s="91">
        <f>'Q4 16'!F32</f>
        <v>0.05</v>
      </c>
      <c r="K32" s="96">
        <f t="shared" si="3"/>
        <v>0</v>
      </c>
      <c r="M32" s="147">
        <f t="shared" si="6"/>
        <v>0.04</v>
      </c>
      <c r="N32" s="2"/>
      <c r="O32" s="141">
        <f t="shared" si="4"/>
        <v>2E-3</v>
      </c>
      <c r="R32" s="132">
        <f t="shared" si="7"/>
        <v>0.1</v>
      </c>
      <c r="S32" s="2"/>
      <c r="T32" s="141">
        <f t="shared" si="5"/>
        <v>5.000000000000001E-3</v>
      </c>
    </row>
    <row r="33" spans="2:20" ht="15.75" thickBot="1" x14ac:dyDescent="0.3">
      <c r="B33" s="56" t="s">
        <v>10</v>
      </c>
      <c r="C33" s="86">
        <v>0.25</v>
      </c>
      <c r="D33" s="75">
        <f>SUM(F33:F37)</f>
        <v>0.22000000000000003</v>
      </c>
      <c r="E33" s="117" t="s">
        <v>55</v>
      </c>
      <c r="F33" s="45">
        <v>0</v>
      </c>
      <c r="G33" s="41"/>
      <c r="H33" s="92">
        <v>0</v>
      </c>
      <c r="I33" s="91">
        <v>0</v>
      </c>
      <c r="J33" s="91">
        <f>'Q4 16'!F33</f>
        <v>0.05</v>
      </c>
      <c r="K33" s="96">
        <f t="shared" si="3"/>
        <v>-0.05</v>
      </c>
      <c r="M33" s="147">
        <f t="shared" si="6"/>
        <v>0.1</v>
      </c>
      <c r="N33" s="2"/>
      <c r="O33" s="141">
        <f t="shared" si="4"/>
        <v>0</v>
      </c>
      <c r="R33" s="132">
        <f t="shared" si="7"/>
        <v>0.1</v>
      </c>
      <c r="S33" s="2"/>
      <c r="T33" s="141">
        <f t="shared" si="5"/>
        <v>0</v>
      </c>
    </row>
    <row r="34" spans="2:20" ht="15.75" thickBot="1" x14ac:dyDescent="0.3">
      <c r="B34" s="83"/>
      <c r="C34" s="84"/>
      <c r="D34" s="82"/>
      <c r="E34" s="29" t="s">
        <v>18</v>
      </c>
      <c r="F34" s="44">
        <v>0.09</v>
      </c>
      <c r="G34" s="42"/>
      <c r="H34" s="100">
        <v>0.03</v>
      </c>
      <c r="I34" s="91">
        <v>0.09</v>
      </c>
      <c r="J34" s="91">
        <f>'Q4 16'!F34</f>
        <v>0.09</v>
      </c>
      <c r="K34" s="96">
        <f t="shared" si="3"/>
        <v>0</v>
      </c>
      <c r="M34" s="147">
        <f t="shared" si="6"/>
        <v>0.02</v>
      </c>
      <c r="N34" s="2"/>
      <c r="O34" s="141">
        <f t="shared" si="4"/>
        <v>1.8E-3</v>
      </c>
      <c r="R34" s="132">
        <f t="shared" si="7"/>
        <v>0.02</v>
      </c>
      <c r="S34" s="2"/>
      <c r="T34" s="141">
        <f t="shared" si="5"/>
        <v>1.8E-3</v>
      </c>
    </row>
    <row r="35" spans="2:20" ht="15.75" thickBot="1" x14ac:dyDescent="0.3">
      <c r="B35" s="53"/>
      <c r="C35" s="79"/>
      <c r="D35" s="98"/>
      <c r="E35" s="30" t="s">
        <v>23</v>
      </c>
      <c r="F35" s="44">
        <v>0.05</v>
      </c>
      <c r="G35" s="42"/>
      <c r="H35" s="100">
        <v>0.05</v>
      </c>
      <c r="I35" s="91">
        <v>0.05</v>
      </c>
      <c r="J35" s="91">
        <f>'Q4 16'!F35</f>
        <v>0.05</v>
      </c>
      <c r="K35" s="96">
        <f t="shared" si="3"/>
        <v>0</v>
      </c>
      <c r="M35" s="147">
        <f>M17</f>
        <v>0.05</v>
      </c>
      <c r="N35" s="2"/>
      <c r="O35" s="141">
        <f t="shared" si="4"/>
        <v>2.5000000000000005E-3</v>
      </c>
      <c r="R35" s="132">
        <f>R17</f>
        <v>0.04</v>
      </c>
      <c r="S35" s="2"/>
      <c r="T35" s="141">
        <f t="shared" si="5"/>
        <v>2E-3</v>
      </c>
    </row>
    <row r="36" spans="2:20" ht="15.75" thickBot="1" x14ac:dyDescent="0.3">
      <c r="B36" s="53"/>
      <c r="C36" s="79"/>
      <c r="D36" s="98"/>
      <c r="E36" s="30" t="s">
        <v>56</v>
      </c>
      <c r="F36" s="44">
        <v>0.04</v>
      </c>
      <c r="G36" s="42"/>
      <c r="H36" s="100">
        <v>0</v>
      </c>
      <c r="I36" s="91">
        <v>0</v>
      </c>
      <c r="J36" s="91">
        <f>'Q4 16'!F36</f>
        <v>0.04</v>
      </c>
      <c r="K36" s="96">
        <f t="shared" si="3"/>
        <v>0</v>
      </c>
      <c r="M36" s="147">
        <f>M17</f>
        <v>0.05</v>
      </c>
      <c r="N36" s="2"/>
      <c r="O36" s="141">
        <f t="shared" si="4"/>
        <v>2E-3</v>
      </c>
      <c r="R36" s="132">
        <f>R16</f>
        <v>0.05</v>
      </c>
      <c r="S36" s="2"/>
      <c r="T36" s="141">
        <f t="shared" si="5"/>
        <v>2E-3</v>
      </c>
    </row>
    <row r="37" spans="2:20" ht="15.75" thickBot="1" x14ac:dyDescent="0.3">
      <c r="B37" s="54"/>
      <c r="C37" s="78"/>
      <c r="D37" s="81"/>
      <c r="E37" s="31" t="s">
        <v>13</v>
      </c>
      <c r="F37" s="39">
        <v>0.04</v>
      </c>
      <c r="G37" s="36"/>
      <c r="H37" s="92">
        <v>0.04</v>
      </c>
      <c r="I37" s="91">
        <v>0.04</v>
      </c>
      <c r="J37" s="91">
        <f>'Q4 16'!F37</f>
        <v>0.04</v>
      </c>
      <c r="K37" s="96">
        <f t="shared" si="3"/>
        <v>0</v>
      </c>
      <c r="M37" s="147">
        <v>0.05</v>
      </c>
      <c r="N37" s="2"/>
      <c r="O37" s="141">
        <f t="shared" si="4"/>
        <v>2E-3</v>
      </c>
      <c r="R37" s="132">
        <v>0.05</v>
      </c>
      <c r="S37" s="2"/>
      <c r="T37" s="141">
        <f t="shared" si="5"/>
        <v>2E-3</v>
      </c>
    </row>
    <row r="38" spans="2:20" ht="15.75" thickBot="1" x14ac:dyDescent="0.3">
      <c r="B38" s="54"/>
      <c r="C38" s="78"/>
      <c r="D38" s="99"/>
      <c r="E38" s="119" t="s">
        <v>39</v>
      </c>
      <c r="F38" s="37">
        <v>0</v>
      </c>
      <c r="G38" s="36"/>
      <c r="H38" s="92">
        <v>0</v>
      </c>
      <c r="I38" s="91">
        <v>0.04</v>
      </c>
      <c r="J38" s="91">
        <f>'Q4 16'!F38</f>
        <v>0</v>
      </c>
      <c r="K38" s="96">
        <f t="shared" si="3"/>
        <v>0</v>
      </c>
      <c r="M38" s="147">
        <f>M18</f>
        <v>0.05</v>
      </c>
      <c r="N38" s="2"/>
      <c r="O38" s="141">
        <f t="shared" si="4"/>
        <v>0</v>
      </c>
      <c r="R38" s="132">
        <f>R19</f>
        <v>0.15</v>
      </c>
      <c r="S38" s="2"/>
      <c r="T38" s="141">
        <f t="shared" si="5"/>
        <v>0</v>
      </c>
    </row>
    <row r="39" spans="2:20" ht="15.75" thickBot="1" x14ac:dyDescent="0.3">
      <c r="B39" s="55" t="s">
        <v>11</v>
      </c>
      <c r="C39" s="86">
        <v>1</v>
      </c>
      <c r="D39" s="87">
        <f>100%-D33-D29-D26</f>
        <v>0.10000000000000009</v>
      </c>
      <c r="E39" s="7"/>
      <c r="F39" s="40"/>
      <c r="H39" s="75">
        <v>0.16</v>
      </c>
      <c r="I39" s="75">
        <v>0.18</v>
      </c>
      <c r="J39" s="75">
        <f>'Q4 16'!D39</f>
        <v>0.10000000000000006</v>
      </c>
      <c r="K39" s="128">
        <f>D39-J39</f>
        <v>0</v>
      </c>
      <c r="M39" s="137">
        <f>M19</f>
        <v>0.01</v>
      </c>
      <c r="N39" s="32"/>
      <c r="O39" s="143">
        <f>M39*D39</f>
        <v>1.0000000000000009E-3</v>
      </c>
      <c r="R39" s="6"/>
      <c r="S39" s="7"/>
      <c r="T39" s="142" t="s">
        <v>46</v>
      </c>
    </row>
    <row r="40" spans="2:20" ht="15.75" thickBot="1" x14ac:dyDescent="0.3">
      <c r="G40" s="75">
        <v>0.12</v>
      </c>
      <c r="H40" s="94"/>
      <c r="I40" s="94"/>
      <c r="J40" s="94"/>
      <c r="O40" s="131"/>
      <c r="R40" s="138">
        <f>R20</f>
        <v>0.05</v>
      </c>
      <c r="S40" s="32"/>
      <c r="T40" s="143">
        <f>R40*G40</f>
        <v>6.0000000000000001E-3</v>
      </c>
    </row>
    <row r="41" spans="2:20" x14ac:dyDescent="0.25">
      <c r="D41" s="164" t="s">
        <v>46</v>
      </c>
      <c r="H41" s="94"/>
      <c r="I41" s="94"/>
      <c r="J41" s="94"/>
      <c r="O41" s="131"/>
      <c r="T41" s="131"/>
    </row>
    <row r="42" spans="2:20" ht="15.75" thickBot="1" x14ac:dyDescent="0.3">
      <c r="H42" s="94"/>
      <c r="I42" s="94"/>
      <c r="J42" s="94"/>
      <c r="K42" s="94"/>
      <c r="O42" s="131"/>
      <c r="T42" s="131"/>
    </row>
    <row r="43" spans="2:20" ht="19.5" thickBot="1" x14ac:dyDescent="0.35">
      <c r="B43" s="69" t="s">
        <v>14</v>
      </c>
      <c r="C43" s="70"/>
      <c r="D43" s="70"/>
      <c r="E43" s="70"/>
      <c r="F43" s="70"/>
      <c r="G43" s="71"/>
      <c r="H43" s="95"/>
      <c r="I43" s="95"/>
      <c r="J43" s="95"/>
      <c r="K43" s="95"/>
      <c r="M43" s="9" t="s">
        <v>40</v>
      </c>
      <c r="N43" s="133"/>
      <c r="O43" s="134">
        <f>SUM(O46:O60)</f>
        <v>4.8500000000000001E-2</v>
      </c>
      <c r="R43" s="9" t="str">
        <f>R23</f>
        <v>Risk=</v>
      </c>
      <c r="S43" s="133"/>
      <c r="T43" s="134">
        <f>SUM(T46:T61)</f>
        <v>0.1038</v>
      </c>
    </row>
    <row r="44" spans="2:20" ht="19.5" thickBot="1" x14ac:dyDescent="0.35">
      <c r="B44" s="72"/>
      <c r="C44" s="73"/>
      <c r="D44" s="73"/>
      <c r="E44" s="73"/>
      <c r="F44" s="73"/>
      <c r="G44" s="74"/>
      <c r="H44" s="110" t="str">
        <f>H24</f>
        <v>Q2</v>
      </c>
      <c r="I44" s="111" t="str">
        <f>I24</f>
        <v>Q3</v>
      </c>
      <c r="J44" s="111" t="s">
        <v>68</v>
      </c>
      <c r="K44" s="111" t="str">
        <f>K24</f>
        <v xml:space="preserve">Delta (Q4.1-Q4) </v>
      </c>
      <c r="M44" s="149"/>
      <c r="N44" s="150"/>
      <c r="O44" s="152"/>
      <c r="R44" s="149"/>
      <c r="S44" s="150"/>
      <c r="T44" s="151"/>
    </row>
    <row r="45" spans="2:20" ht="15.75" thickBot="1" x14ac:dyDescent="0.3">
      <c r="B45" s="48" t="s">
        <v>1</v>
      </c>
      <c r="C45" s="49"/>
      <c r="D45" s="19" t="str">
        <f>D25</f>
        <v>Q4.1 2016</v>
      </c>
      <c r="E45" s="19" t="s">
        <v>4</v>
      </c>
      <c r="F45" s="50" t="s">
        <v>5</v>
      </c>
      <c r="G45" s="50" t="s">
        <v>15</v>
      </c>
      <c r="H45" s="95"/>
      <c r="I45" s="95"/>
      <c r="J45" s="95"/>
      <c r="K45" s="95"/>
      <c r="M45" s="1"/>
      <c r="N45" s="2"/>
      <c r="O45" s="141"/>
      <c r="R45" s="162"/>
      <c r="S45" s="21"/>
      <c r="T45" s="163"/>
    </row>
    <row r="46" spans="2:20" ht="15.75" thickBot="1" x14ac:dyDescent="0.3">
      <c r="B46" s="23" t="s">
        <v>2</v>
      </c>
      <c r="C46" s="85">
        <v>0.7</v>
      </c>
      <c r="D46" s="75">
        <f>SUM(F46:F51)</f>
        <v>0.51</v>
      </c>
      <c r="E46" s="112" t="s">
        <v>49</v>
      </c>
      <c r="F46" s="45">
        <v>0.42</v>
      </c>
      <c r="G46" s="35"/>
      <c r="H46" s="91">
        <v>0.42</v>
      </c>
      <c r="I46" s="91">
        <v>0.42</v>
      </c>
      <c r="J46" s="91">
        <f>'Q4 16'!F46</f>
        <v>0.38</v>
      </c>
      <c r="K46" s="148">
        <f t="shared" ref="K46:K59" si="8">F46-J46</f>
        <v>3.999999999999998E-2</v>
      </c>
      <c r="M46" s="147">
        <f>M26</f>
        <v>0.06</v>
      </c>
      <c r="N46" s="2"/>
      <c r="O46" s="141">
        <f t="shared" ref="O46:O59" si="9">M46*F46</f>
        <v>2.5199999999999997E-2</v>
      </c>
      <c r="R46" s="132">
        <f>R8</f>
        <v>0.15</v>
      </c>
      <c r="S46" s="2"/>
      <c r="T46" s="141">
        <f t="shared" ref="T46:T59" si="10">R46*F46</f>
        <v>6.3E-2</v>
      </c>
    </row>
    <row r="47" spans="2:20" ht="15.75" thickBot="1" x14ac:dyDescent="0.3">
      <c r="B47" s="53"/>
      <c r="C47" s="76"/>
      <c r="D47" s="82"/>
      <c r="E47" s="25" t="s">
        <v>7</v>
      </c>
      <c r="F47" s="44">
        <v>0</v>
      </c>
      <c r="G47" s="43"/>
      <c r="H47" s="100">
        <v>0.06</v>
      </c>
      <c r="I47" s="91">
        <v>0.06</v>
      </c>
      <c r="J47" s="91">
        <f>'Q4 16'!F47</f>
        <v>0</v>
      </c>
      <c r="K47" s="96">
        <f t="shared" si="8"/>
        <v>0</v>
      </c>
      <c r="M47" s="147">
        <f>M28</f>
        <v>0.03</v>
      </c>
      <c r="N47" s="2"/>
      <c r="O47" s="141">
        <f t="shared" si="9"/>
        <v>0</v>
      </c>
      <c r="R47" s="132">
        <f>R9</f>
        <v>0.1</v>
      </c>
      <c r="S47" s="2"/>
      <c r="T47" s="141">
        <f t="shared" si="10"/>
        <v>0</v>
      </c>
    </row>
    <row r="48" spans="2:20" ht="15.75" thickBot="1" x14ac:dyDescent="0.3">
      <c r="B48" s="53"/>
      <c r="C48" s="76"/>
      <c r="D48" s="98"/>
      <c r="E48" s="25" t="s">
        <v>22</v>
      </c>
      <c r="F48" s="44">
        <v>0.03</v>
      </c>
      <c r="G48" s="43"/>
      <c r="H48" s="100">
        <v>0.03</v>
      </c>
      <c r="I48" s="91">
        <v>0.04</v>
      </c>
      <c r="J48" s="91">
        <f>'Q4 16'!F48</f>
        <v>0.03</v>
      </c>
      <c r="K48" s="96">
        <f t="shared" si="8"/>
        <v>0</v>
      </c>
      <c r="M48" s="147">
        <f>M27</f>
        <v>0.08</v>
      </c>
      <c r="N48" s="2"/>
      <c r="O48" s="141">
        <f t="shared" si="9"/>
        <v>2.3999999999999998E-3</v>
      </c>
      <c r="R48" s="132">
        <f>R27</f>
        <v>0.2</v>
      </c>
      <c r="S48" s="2"/>
      <c r="T48" s="141">
        <f t="shared" si="10"/>
        <v>6.0000000000000001E-3</v>
      </c>
    </row>
    <row r="49" spans="2:20" ht="15.75" thickBot="1" x14ac:dyDescent="0.3">
      <c r="B49" s="53"/>
      <c r="C49" s="76"/>
      <c r="D49" s="98"/>
      <c r="E49" s="25" t="s">
        <v>16</v>
      </c>
      <c r="F49" s="44">
        <v>0.03</v>
      </c>
      <c r="G49" s="43"/>
      <c r="H49" s="100">
        <v>0.03</v>
      </c>
      <c r="I49" s="91">
        <v>0.04</v>
      </c>
      <c r="J49" s="91">
        <f>'Q4 16'!F49</f>
        <v>0.03</v>
      </c>
      <c r="K49" s="96">
        <f t="shared" si="8"/>
        <v>0</v>
      </c>
      <c r="M49" s="147">
        <v>0.08</v>
      </c>
      <c r="N49" s="2"/>
      <c r="O49" s="141">
        <f t="shared" si="9"/>
        <v>2.3999999999999998E-3</v>
      </c>
      <c r="R49" s="132">
        <v>0.15</v>
      </c>
      <c r="S49" s="2"/>
      <c r="T49" s="141">
        <f t="shared" si="10"/>
        <v>4.4999999999999997E-3</v>
      </c>
    </row>
    <row r="50" spans="2:20" ht="15.75" thickBot="1" x14ac:dyDescent="0.3">
      <c r="B50" s="53"/>
      <c r="C50" s="76"/>
      <c r="D50" s="98"/>
      <c r="E50" s="25" t="s">
        <v>25</v>
      </c>
      <c r="F50" s="44">
        <v>0</v>
      </c>
      <c r="G50" s="43"/>
      <c r="H50" s="102">
        <f>'Q2 16'!F42</f>
        <v>0.04</v>
      </c>
      <c r="I50" s="91">
        <v>0.03</v>
      </c>
      <c r="J50" s="91">
        <f>'Q4 16'!F50</f>
        <v>0</v>
      </c>
      <c r="K50" s="96">
        <f t="shared" si="8"/>
        <v>0</v>
      </c>
      <c r="M50" s="147"/>
      <c r="N50" s="2"/>
      <c r="O50" s="141">
        <f t="shared" si="9"/>
        <v>0</v>
      </c>
      <c r="R50" s="1"/>
      <c r="S50" s="2"/>
      <c r="T50" s="141">
        <f t="shared" si="10"/>
        <v>0</v>
      </c>
    </row>
    <row r="51" spans="2:20" ht="15.75" thickBot="1" x14ac:dyDescent="0.3">
      <c r="B51" s="54"/>
      <c r="C51" s="77"/>
      <c r="D51" s="81"/>
      <c r="E51" s="26" t="s">
        <v>17</v>
      </c>
      <c r="F51" s="39">
        <v>0.03</v>
      </c>
      <c r="G51" s="38"/>
      <c r="H51" s="93">
        <v>0.03</v>
      </c>
      <c r="I51" s="91">
        <v>0.04</v>
      </c>
      <c r="J51" s="91">
        <f>'Q4 16'!F51</f>
        <v>0.03</v>
      </c>
      <c r="K51" s="96">
        <f t="shared" si="8"/>
        <v>0</v>
      </c>
      <c r="M51" s="147">
        <v>0.08</v>
      </c>
      <c r="N51" s="2"/>
      <c r="O51" s="141">
        <f t="shared" si="9"/>
        <v>2.3999999999999998E-3</v>
      </c>
      <c r="R51" s="132">
        <v>0.15</v>
      </c>
      <c r="S51" s="2"/>
      <c r="T51" s="141">
        <f t="shared" si="10"/>
        <v>4.4999999999999997E-3</v>
      </c>
    </row>
    <row r="52" spans="2:20" ht="15.75" thickBot="1" x14ac:dyDescent="0.3">
      <c r="B52" s="23" t="s">
        <v>3</v>
      </c>
      <c r="C52" s="86">
        <v>0.5</v>
      </c>
      <c r="D52" s="75">
        <f>F52+F53</f>
        <v>0.18</v>
      </c>
      <c r="E52" s="114" t="s">
        <v>50</v>
      </c>
      <c r="F52" s="45">
        <v>0.18</v>
      </c>
      <c r="G52" s="35"/>
      <c r="H52" s="91">
        <f>'Q2 16'!F46</f>
        <v>0.15</v>
      </c>
      <c r="I52" s="91">
        <v>0.18</v>
      </c>
      <c r="J52" s="91">
        <f>'Q4 16'!F52</f>
        <v>0.18</v>
      </c>
      <c r="K52" s="96">
        <f t="shared" si="8"/>
        <v>0</v>
      </c>
      <c r="M52" s="147">
        <f>M29</f>
        <v>3.5000000000000003E-2</v>
      </c>
      <c r="N52" s="2"/>
      <c r="O52" s="141">
        <f t="shared" si="9"/>
        <v>6.3E-3</v>
      </c>
      <c r="R52" s="132">
        <f>R10</f>
        <v>5.5E-2</v>
      </c>
      <c r="S52" s="2"/>
      <c r="T52" s="141">
        <f t="shared" si="10"/>
        <v>9.8999999999999991E-3</v>
      </c>
    </row>
    <row r="53" spans="2:20" ht="15.75" thickBot="1" x14ac:dyDescent="0.3">
      <c r="B53" s="54"/>
      <c r="C53" s="78"/>
      <c r="D53" s="81"/>
      <c r="E53" s="115" t="s">
        <v>52</v>
      </c>
      <c r="F53" s="37">
        <v>0</v>
      </c>
      <c r="G53" s="38"/>
      <c r="H53" s="101">
        <f>'Q2 16'!F47</f>
        <v>0</v>
      </c>
      <c r="I53" s="91">
        <v>0</v>
      </c>
      <c r="J53" s="91">
        <f>'Q4 16'!F53</f>
        <v>0</v>
      </c>
      <c r="K53" s="96">
        <f t="shared" si="8"/>
        <v>0</v>
      </c>
      <c r="M53" s="147">
        <f>M30</f>
        <v>2.5000000000000001E-2</v>
      </c>
      <c r="N53" s="2"/>
      <c r="O53" s="141">
        <f t="shared" si="9"/>
        <v>0</v>
      </c>
      <c r="R53" s="132">
        <f>R30</f>
        <v>0.08</v>
      </c>
      <c r="S53" s="2"/>
      <c r="T53" s="141">
        <f t="shared" si="10"/>
        <v>0</v>
      </c>
    </row>
    <row r="54" spans="2:20" ht="15.75" thickBot="1" x14ac:dyDescent="0.3">
      <c r="B54" s="23" t="s">
        <v>10</v>
      </c>
      <c r="C54" s="144">
        <v>0.3</v>
      </c>
      <c r="D54" s="75">
        <f>SUM(F54:F59)</f>
        <v>0.22000000000000003</v>
      </c>
      <c r="E54" s="153" t="s">
        <v>23</v>
      </c>
      <c r="F54" s="45">
        <v>0.05</v>
      </c>
      <c r="G54" s="35"/>
      <c r="H54" s="91">
        <f>'Q2 16'!F48</f>
        <v>0.05</v>
      </c>
      <c r="I54" s="91">
        <v>0.05</v>
      </c>
      <c r="J54" s="91">
        <f>'Q4 16'!F54</f>
        <v>0.05</v>
      </c>
      <c r="K54" s="96">
        <f t="shared" si="8"/>
        <v>0</v>
      </c>
      <c r="M54" s="147">
        <f>M35</f>
        <v>0.05</v>
      </c>
      <c r="N54" s="2"/>
      <c r="O54" s="141">
        <f t="shared" si="9"/>
        <v>2.5000000000000005E-3</v>
      </c>
      <c r="R54" s="132">
        <f>R17</f>
        <v>0.04</v>
      </c>
      <c r="S54" s="2"/>
      <c r="T54" s="141">
        <f t="shared" si="10"/>
        <v>2E-3</v>
      </c>
    </row>
    <row r="55" spans="2:20" ht="15.75" thickBot="1" x14ac:dyDescent="0.3">
      <c r="B55" s="53"/>
      <c r="C55" s="89"/>
      <c r="D55" s="154"/>
      <c r="E55" s="155" t="s">
        <v>55</v>
      </c>
      <c r="F55" s="122">
        <v>0</v>
      </c>
      <c r="G55" s="43"/>
      <c r="H55" s="92">
        <f>'Q2 16'!F49</f>
        <v>0.03</v>
      </c>
      <c r="I55" s="91">
        <v>0.03</v>
      </c>
      <c r="J55" s="91">
        <f>'Q4 16'!F55</f>
        <v>0.05</v>
      </c>
      <c r="K55" s="96">
        <f t="shared" si="8"/>
        <v>-0.05</v>
      </c>
      <c r="M55" s="147">
        <f>M33</f>
        <v>0.1</v>
      </c>
      <c r="N55" s="2"/>
      <c r="O55" s="141">
        <f t="shared" si="9"/>
        <v>0</v>
      </c>
      <c r="R55" s="132">
        <f>R33</f>
        <v>0.1</v>
      </c>
      <c r="S55" s="2"/>
      <c r="T55" s="141">
        <f t="shared" si="10"/>
        <v>0</v>
      </c>
    </row>
    <row r="56" spans="2:20" ht="15.75" thickBot="1" x14ac:dyDescent="0.3">
      <c r="B56" s="53"/>
      <c r="C56" s="89"/>
      <c r="D56" s="82"/>
      <c r="E56" s="145" t="s">
        <v>18</v>
      </c>
      <c r="F56" s="44">
        <v>7.0000000000000007E-2</v>
      </c>
      <c r="G56" s="33"/>
      <c r="H56" s="100">
        <f>'Q2 16'!F50</f>
        <v>0.06</v>
      </c>
      <c r="I56" s="91">
        <v>0.06</v>
      </c>
      <c r="J56" s="91">
        <f>'Q4 16'!F56</f>
        <v>0.06</v>
      </c>
      <c r="K56" s="148">
        <f t="shared" si="8"/>
        <v>1.0000000000000009E-2</v>
      </c>
      <c r="M56" s="147">
        <f>M34</f>
        <v>0.02</v>
      </c>
      <c r="N56" s="2"/>
      <c r="O56" s="141">
        <f t="shared" si="9"/>
        <v>1.4000000000000002E-3</v>
      </c>
      <c r="R56" s="132">
        <f>R15</f>
        <v>0.02</v>
      </c>
      <c r="S56" s="2"/>
      <c r="T56" s="141">
        <f t="shared" si="10"/>
        <v>1.4000000000000002E-3</v>
      </c>
    </row>
    <row r="57" spans="2:20" ht="15.75" thickBot="1" x14ac:dyDescent="0.3">
      <c r="B57" s="53"/>
      <c r="C57" s="89"/>
      <c r="D57" s="98"/>
      <c r="E57" s="118" t="s">
        <v>39</v>
      </c>
      <c r="F57" s="44">
        <v>0</v>
      </c>
      <c r="G57" s="33"/>
      <c r="H57" s="100">
        <v>0</v>
      </c>
      <c r="I57" s="91">
        <v>0.05</v>
      </c>
      <c r="J57" s="91">
        <f>'Q4 16'!F57</f>
        <v>0</v>
      </c>
      <c r="K57" s="96">
        <f t="shared" si="8"/>
        <v>0</v>
      </c>
      <c r="M57" s="147">
        <f>M38</f>
        <v>0.05</v>
      </c>
      <c r="N57" s="2"/>
      <c r="O57" s="141">
        <f t="shared" si="9"/>
        <v>0</v>
      </c>
      <c r="R57" s="132">
        <f>R38</f>
        <v>0.15</v>
      </c>
      <c r="S57" s="2"/>
      <c r="T57" s="141">
        <f t="shared" si="10"/>
        <v>0</v>
      </c>
    </row>
    <row r="58" spans="2:20" ht="15.75" thickBot="1" x14ac:dyDescent="0.3">
      <c r="B58" s="53"/>
      <c r="C58" s="89"/>
      <c r="D58" s="98"/>
      <c r="E58" s="30" t="s">
        <v>56</v>
      </c>
      <c r="F58" s="44">
        <v>0.05</v>
      </c>
      <c r="G58" s="43"/>
      <c r="H58" s="100">
        <v>0</v>
      </c>
      <c r="I58" s="91">
        <v>0</v>
      </c>
      <c r="J58" s="91">
        <f>'Q4 16'!F58</f>
        <v>0.05</v>
      </c>
      <c r="K58" s="96">
        <f t="shared" si="8"/>
        <v>0</v>
      </c>
      <c r="M58" s="147">
        <f>M36</f>
        <v>0.05</v>
      </c>
      <c r="N58" s="2"/>
      <c r="O58" s="141">
        <f t="shared" si="9"/>
        <v>2.5000000000000005E-3</v>
      </c>
      <c r="R58" s="132">
        <f>R36</f>
        <v>0.05</v>
      </c>
      <c r="S58" s="2"/>
      <c r="T58" s="141">
        <f t="shared" si="10"/>
        <v>2.5000000000000005E-3</v>
      </c>
    </row>
    <row r="59" spans="2:20" ht="15.75" thickBot="1" x14ac:dyDescent="0.3">
      <c r="B59" s="54"/>
      <c r="C59" s="88"/>
      <c r="D59" s="82"/>
      <c r="E59" s="145" t="s">
        <v>13</v>
      </c>
      <c r="F59" s="122">
        <v>0.05</v>
      </c>
      <c r="G59" s="38"/>
      <c r="H59" s="92">
        <f>'Q2 16'!F52</f>
        <v>0.05</v>
      </c>
      <c r="I59" s="91">
        <v>0.05</v>
      </c>
      <c r="J59" s="91">
        <f>'Q4 16'!F59</f>
        <v>0.05</v>
      </c>
      <c r="K59" s="96">
        <f t="shared" si="8"/>
        <v>0</v>
      </c>
      <c r="M59" s="147">
        <f>M37</f>
        <v>0.05</v>
      </c>
      <c r="N59" s="2"/>
      <c r="O59" s="141">
        <f t="shared" si="9"/>
        <v>2.5000000000000005E-3</v>
      </c>
      <c r="R59" s="132">
        <f>R37</f>
        <v>0.05</v>
      </c>
      <c r="S59" s="2"/>
      <c r="T59" s="141">
        <f t="shared" si="10"/>
        <v>2.5000000000000005E-3</v>
      </c>
    </row>
    <row r="60" spans="2:20" ht="15.75" thickBot="1" x14ac:dyDescent="0.3">
      <c r="B60" s="23" t="s">
        <v>11</v>
      </c>
      <c r="C60" s="86">
        <v>1</v>
      </c>
      <c r="D60" s="87">
        <f>100%-D54-D52-D46</f>
        <v>9.000000000000008E-2</v>
      </c>
      <c r="E60" s="7"/>
      <c r="F60" s="40"/>
      <c r="H60" s="75">
        <v>0.05</v>
      </c>
      <c r="I60" s="75">
        <v>7.999999999999996E-2</v>
      </c>
      <c r="J60" s="75">
        <f>'Q4 16'!D60</f>
        <v>8.9999999999999969E-2</v>
      </c>
      <c r="K60" s="148">
        <f>D60-J60</f>
        <v>1.1102230246251565E-16</v>
      </c>
      <c r="M60" s="137">
        <f>M39</f>
        <v>0.01</v>
      </c>
      <c r="N60" s="32"/>
      <c r="O60" s="143">
        <f>M60*D60</f>
        <v>9.0000000000000084E-4</v>
      </c>
      <c r="R60" s="1"/>
      <c r="S60" s="2"/>
      <c r="T60" s="3"/>
    </row>
    <row r="61" spans="2:20" ht="15.75" thickBot="1" x14ac:dyDescent="0.3">
      <c r="G61" s="75">
        <v>0.15</v>
      </c>
      <c r="O61" s="131"/>
      <c r="R61" s="138">
        <f>R40</f>
        <v>0.05</v>
      </c>
      <c r="S61" s="32"/>
      <c r="T61" s="143">
        <f>R61*G61</f>
        <v>7.4999999999999997E-3</v>
      </c>
    </row>
    <row r="62" spans="2:20" x14ac:dyDescent="0.25">
      <c r="O62" s="1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86"/>
  <sheetViews>
    <sheetView tabSelected="1" workbookViewId="0">
      <selection activeCell="Y1" sqref="Y1:Y1048576"/>
    </sheetView>
  </sheetViews>
  <sheetFormatPr defaultRowHeight="15" x14ac:dyDescent="0.25"/>
  <cols>
    <col min="1" max="1" width="8.140625" customWidth="1"/>
    <col min="2" max="2" width="11.7109375" customWidth="1"/>
    <col min="5" max="5" width="25.42578125" customWidth="1"/>
    <col min="9" max="9" width="13.85546875" customWidth="1"/>
    <col min="18" max="18" width="12" customWidth="1"/>
    <col min="20" max="29" width="0" hidden="1" customWidth="1"/>
  </cols>
  <sheetData>
    <row r="1" spans="2:28" ht="23.25" x14ac:dyDescent="0.35">
      <c r="P1" s="139"/>
      <c r="Q1" s="140" t="s">
        <v>42</v>
      </c>
      <c r="R1" s="140"/>
      <c r="S1" s="140"/>
      <c r="T1" s="140"/>
      <c r="U1" s="140" t="s">
        <v>58</v>
      </c>
      <c r="V1" s="33"/>
    </row>
    <row r="2" spans="2:28" ht="24" thickBot="1" x14ac:dyDescent="0.4">
      <c r="L2" s="139" t="s">
        <v>41</v>
      </c>
      <c r="P2" s="139"/>
      <c r="Q2" s="140" t="s">
        <v>43</v>
      </c>
      <c r="R2" s="140"/>
      <c r="S2" s="140"/>
      <c r="U2" s="140" t="s">
        <v>59</v>
      </c>
      <c r="V2" s="33"/>
    </row>
    <row r="3" spans="2:28" ht="24" thickBot="1" x14ac:dyDescent="0.4">
      <c r="B3" s="51" t="s">
        <v>72</v>
      </c>
      <c r="C3" s="52"/>
      <c r="P3" s="139"/>
      <c r="Q3" s="140" t="s">
        <v>54</v>
      </c>
      <c r="R3" s="140"/>
      <c r="S3" s="140"/>
    </row>
    <row r="4" spans="2:28" ht="19.5" thickBot="1" x14ac:dyDescent="0.35">
      <c r="K4" s="9" t="s">
        <v>40</v>
      </c>
      <c r="L4" s="133"/>
      <c r="M4" s="134">
        <f>SUM(M8:M26)</f>
        <v>3.6350000000000007E-2</v>
      </c>
      <c r="P4" s="9" t="s">
        <v>45</v>
      </c>
      <c r="Q4" s="133"/>
      <c r="R4" s="134">
        <f>SUM(R8:R26)</f>
        <v>6.3649999999999998E-2</v>
      </c>
      <c r="X4" s="131">
        <f>D8/C8</f>
        <v>0.99999999999999989</v>
      </c>
      <c r="Y4" s="183" t="s">
        <v>87</v>
      </c>
    </row>
    <row r="5" spans="2:28" ht="19.5" thickBot="1" x14ac:dyDescent="0.35">
      <c r="B5" s="63" t="s">
        <v>0</v>
      </c>
      <c r="C5" s="64"/>
      <c r="D5" s="64"/>
      <c r="E5" s="64"/>
      <c r="F5" s="64"/>
      <c r="G5" s="65"/>
      <c r="H5" s="33"/>
      <c r="I5" s="33"/>
      <c r="K5" s="149"/>
      <c r="L5" s="150"/>
      <c r="M5" s="151"/>
      <c r="P5" s="149"/>
      <c r="Q5" s="150"/>
      <c r="R5" s="151"/>
      <c r="Y5" s="184"/>
    </row>
    <row r="6" spans="2:28" ht="15.75" thickBot="1" x14ac:dyDescent="0.3">
      <c r="B6" s="66"/>
      <c r="C6" s="67"/>
      <c r="D6" s="67"/>
      <c r="E6" s="67"/>
      <c r="F6" s="67"/>
      <c r="G6" s="68"/>
      <c r="H6" s="106" t="s">
        <v>74</v>
      </c>
      <c r="I6" s="107" t="s">
        <v>75</v>
      </c>
      <c r="K6" s="162"/>
      <c r="L6" s="21"/>
      <c r="M6" s="179"/>
      <c r="P6" s="162"/>
      <c r="Q6" s="21"/>
      <c r="R6" s="179"/>
      <c r="S6" s="2"/>
      <c r="U6" s="166"/>
      <c r="V6" s="167"/>
      <c r="Y6" s="184"/>
      <c r="AB6">
        <f>SUM(AB8:AB77)</f>
        <v>0</v>
      </c>
    </row>
    <row r="7" spans="2:28" ht="15.75" thickBot="1" x14ac:dyDescent="0.3">
      <c r="B7" s="48" t="s">
        <v>1</v>
      </c>
      <c r="C7" s="49"/>
      <c r="D7" s="19" t="s">
        <v>73</v>
      </c>
      <c r="E7" s="19" t="s">
        <v>4</v>
      </c>
      <c r="F7" s="50" t="s">
        <v>5</v>
      </c>
      <c r="G7" s="50" t="s">
        <v>15</v>
      </c>
      <c r="H7" s="33"/>
      <c r="I7" s="33"/>
      <c r="K7" s="1"/>
      <c r="L7" s="2"/>
      <c r="M7" s="3"/>
      <c r="P7" s="1"/>
      <c r="Q7" s="2"/>
      <c r="R7" s="3"/>
      <c r="S7" s="2"/>
      <c r="U7" s="168" t="s">
        <v>60</v>
      </c>
      <c r="V7" s="169" t="s">
        <v>61</v>
      </c>
      <c r="Y7" s="184"/>
    </row>
    <row r="8" spans="2:28" ht="19.5" thickBot="1" x14ac:dyDescent="0.35">
      <c r="B8" s="80" t="s">
        <v>2</v>
      </c>
      <c r="C8" s="85">
        <v>0.2</v>
      </c>
      <c r="D8" s="75">
        <f>SUM(F8:F10)</f>
        <v>0.19999999999999998</v>
      </c>
      <c r="E8" s="112" t="s">
        <v>49</v>
      </c>
      <c r="F8" s="34">
        <v>0.12</v>
      </c>
      <c r="G8" s="35"/>
      <c r="H8" s="91">
        <f>'Q4 16'!F8</f>
        <v>0.11</v>
      </c>
      <c r="I8" s="91">
        <f>F8-H8</f>
        <v>9.999999999999995E-3</v>
      </c>
      <c r="K8" s="147">
        <v>0.06</v>
      </c>
      <c r="L8" s="2"/>
      <c r="M8" s="141">
        <f t="shared" ref="M8:M24" si="0">K8*F8</f>
        <v>7.1999999999999998E-3</v>
      </c>
      <c r="P8" s="132">
        <v>0.15</v>
      </c>
      <c r="Q8" s="2"/>
      <c r="R8" s="141">
        <f t="shared" ref="R8:R24" si="1">P8*F8</f>
        <v>1.7999999999999999E-2</v>
      </c>
      <c r="S8" s="165"/>
      <c r="U8" s="168" t="s">
        <v>62</v>
      </c>
      <c r="V8" s="171">
        <v>-4.07E-2</v>
      </c>
      <c r="Y8" s="184"/>
      <c r="Z8">
        <f>20000000</f>
        <v>20000000</v>
      </c>
      <c r="AB8">
        <f>Z8*F22</f>
        <v>0</v>
      </c>
    </row>
    <row r="9" spans="2:28" ht="19.5" thickBot="1" x14ac:dyDescent="0.35">
      <c r="B9" s="177"/>
      <c r="C9" s="178"/>
      <c r="D9" s="98"/>
      <c r="E9" s="30" t="s">
        <v>18</v>
      </c>
      <c r="F9" s="44">
        <v>0.05</v>
      </c>
      <c r="G9" s="43"/>
      <c r="H9" s="91">
        <f>'Q4 16'!F15</f>
        <v>7.0000000000000007E-2</v>
      </c>
      <c r="I9" s="96">
        <f>F9-H9</f>
        <v>-2.0000000000000004E-2</v>
      </c>
      <c r="K9" s="147">
        <v>0.02</v>
      </c>
      <c r="L9" s="2"/>
      <c r="M9" s="141">
        <f>K9*F9</f>
        <v>1E-3</v>
      </c>
      <c r="P9" s="132">
        <v>0.02</v>
      </c>
      <c r="Q9" s="2"/>
      <c r="R9" s="141">
        <f>P9*F9</f>
        <v>1E-3</v>
      </c>
      <c r="S9" s="165"/>
      <c r="U9" s="168"/>
      <c r="V9" s="171"/>
      <c r="Y9" s="184"/>
    </row>
    <row r="10" spans="2:28" ht="15.75" thickBot="1" x14ac:dyDescent="0.3">
      <c r="B10" s="81"/>
      <c r="C10" s="77"/>
      <c r="D10" s="88"/>
      <c r="E10" s="30" t="s">
        <v>81</v>
      </c>
      <c r="F10" s="44">
        <v>0.03</v>
      </c>
      <c r="G10" s="38"/>
      <c r="H10" s="91">
        <f>'Q4 16'!F9</f>
        <v>0</v>
      </c>
      <c r="I10" s="91">
        <f t="shared" ref="I10:I24" si="2">F10-H10</f>
        <v>0.03</v>
      </c>
      <c r="K10" s="147">
        <v>0.08</v>
      </c>
      <c r="L10" s="2"/>
      <c r="M10" s="141">
        <f t="shared" si="0"/>
        <v>2.3999999999999998E-3</v>
      </c>
      <c r="P10" s="132">
        <v>0.18</v>
      </c>
      <c r="Q10" s="2"/>
      <c r="R10" s="141">
        <f t="shared" si="1"/>
        <v>5.3999999999999994E-3</v>
      </c>
      <c r="S10" s="165"/>
      <c r="U10" s="168"/>
      <c r="V10" s="169"/>
      <c r="Y10" s="184"/>
    </row>
    <row r="11" spans="2:28" ht="15.75" thickBot="1" x14ac:dyDescent="0.3">
      <c r="B11" s="80" t="s">
        <v>3</v>
      </c>
      <c r="C11" s="86">
        <v>1</v>
      </c>
      <c r="D11" s="75">
        <f>SUM(F11:F17)</f>
        <v>0.53</v>
      </c>
      <c r="E11" s="114" t="s">
        <v>50</v>
      </c>
      <c r="F11" s="34">
        <v>0.35</v>
      </c>
      <c r="G11" s="35"/>
      <c r="H11" s="91">
        <f>'Q4 16'!F10</f>
        <v>0.37</v>
      </c>
      <c r="I11" s="96">
        <f t="shared" si="2"/>
        <v>-2.0000000000000018E-2</v>
      </c>
      <c r="K11" s="147">
        <v>3.5000000000000003E-2</v>
      </c>
      <c r="L11" s="2"/>
      <c r="M11" s="141">
        <f t="shared" si="0"/>
        <v>1.225E-2</v>
      </c>
      <c r="P11" s="132">
        <v>5.5E-2</v>
      </c>
      <c r="Q11" s="2"/>
      <c r="R11" s="141">
        <f t="shared" si="1"/>
        <v>1.925E-2</v>
      </c>
      <c r="S11" s="165"/>
      <c r="U11" s="168" t="s">
        <v>63</v>
      </c>
      <c r="V11" s="169" t="s">
        <v>64</v>
      </c>
      <c r="Y11" s="184"/>
    </row>
    <row r="12" spans="2:28" ht="19.5" thickBot="1" x14ac:dyDescent="0.35">
      <c r="B12" s="82"/>
      <c r="C12" s="79"/>
      <c r="D12" s="89"/>
      <c r="E12" s="115" t="s">
        <v>52</v>
      </c>
      <c r="F12" s="44">
        <v>0.03</v>
      </c>
      <c r="G12" s="43"/>
      <c r="H12" s="91">
        <f>'Q4 16'!F11</f>
        <v>0.06</v>
      </c>
      <c r="I12" s="96">
        <f t="shared" si="2"/>
        <v>-0.03</v>
      </c>
      <c r="K12" s="147">
        <v>2.5000000000000001E-2</v>
      </c>
      <c r="L12" s="2"/>
      <c r="M12" s="141">
        <f t="shared" si="0"/>
        <v>7.5000000000000002E-4</v>
      </c>
      <c r="P12" s="132">
        <v>0.08</v>
      </c>
      <c r="Q12" s="2"/>
      <c r="R12" s="141">
        <f t="shared" si="1"/>
        <v>2.3999999999999998E-3</v>
      </c>
      <c r="S12" s="165"/>
      <c r="U12" s="168"/>
      <c r="V12" s="171">
        <v>-2.9000000000000001E-2</v>
      </c>
      <c r="Y12" s="184"/>
    </row>
    <row r="13" spans="2:28" ht="19.5" thickBot="1" x14ac:dyDescent="0.35">
      <c r="B13" s="82"/>
      <c r="C13" s="79"/>
      <c r="D13" s="98"/>
      <c r="E13" s="30" t="s">
        <v>85</v>
      </c>
      <c r="F13" s="44">
        <v>0</v>
      </c>
      <c r="G13" s="43"/>
      <c r="H13" s="91">
        <v>0</v>
      </c>
      <c r="I13" s="91">
        <f t="shared" si="2"/>
        <v>0</v>
      </c>
      <c r="K13" s="147">
        <v>0.04</v>
      </c>
      <c r="L13" s="2"/>
      <c r="M13" s="141">
        <f t="shared" si="0"/>
        <v>0</v>
      </c>
      <c r="P13" s="132">
        <v>0.12</v>
      </c>
      <c r="Q13" s="2"/>
      <c r="R13" s="141">
        <f t="shared" si="1"/>
        <v>0</v>
      </c>
      <c r="S13" s="165"/>
      <c r="U13" s="168"/>
      <c r="V13" s="171"/>
      <c r="Y13" s="184"/>
    </row>
    <row r="14" spans="2:28" ht="19.5" thickBot="1" x14ac:dyDescent="0.35">
      <c r="B14" s="82"/>
      <c r="C14" s="79"/>
      <c r="D14" s="98"/>
      <c r="E14" s="30" t="s">
        <v>84</v>
      </c>
      <c r="F14" s="44">
        <v>0.04</v>
      </c>
      <c r="G14" s="43"/>
      <c r="H14" s="91">
        <v>0</v>
      </c>
      <c r="I14" s="91">
        <f>F14-H14</f>
        <v>0.04</v>
      </c>
      <c r="K14" s="147">
        <v>0.03</v>
      </c>
      <c r="L14" s="2"/>
      <c r="M14" s="141">
        <f t="shared" si="0"/>
        <v>1.1999999999999999E-3</v>
      </c>
      <c r="P14" s="132">
        <v>2.5000000000000001E-2</v>
      </c>
      <c r="Q14" s="2"/>
      <c r="R14" s="141">
        <f t="shared" si="1"/>
        <v>1E-3</v>
      </c>
      <c r="S14" s="165"/>
      <c r="U14" s="168"/>
      <c r="V14" s="171"/>
      <c r="Y14" s="184"/>
    </row>
    <row r="15" spans="2:28" ht="19.5" thickBot="1" x14ac:dyDescent="0.35">
      <c r="B15" s="82"/>
      <c r="C15" s="79"/>
      <c r="D15" s="98"/>
      <c r="E15" s="30" t="s">
        <v>76</v>
      </c>
      <c r="F15" s="44">
        <v>0.02</v>
      </c>
      <c r="G15" s="43"/>
      <c r="H15" s="91">
        <v>0</v>
      </c>
      <c r="I15" s="91">
        <f t="shared" si="2"/>
        <v>0.02</v>
      </c>
      <c r="K15" s="147">
        <v>0.03</v>
      </c>
      <c r="L15" s="2"/>
      <c r="M15" s="141">
        <f t="shared" si="0"/>
        <v>5.9999999999999995E-4</v>
      </c>
      <c r="P15" s="132">
        <v>7.0000000000000007E-2</v>
      </c>
      <c r="Q15" s="2"/>
      <c r="R15" s="141">
        <f t="shared" si="1"/>
        <v>1.4000000000000002E-3</v>
      </c>
      <c r="S15" s="165"/>
      <c r="U15" s="168"/>
      <c r="V15" s="171"/>
      <c r="Y15" s="184"/>
    </row>
    <row r="16" spans="2:28" ht="15.75" thickBot="1" x14ac:dyDescent="0.3">
      <c r="B16" s="82"/>
      <c r="C16" s="79"/>
      <c r="D16" s="98"/>
      <c r="E16" s="30" t="s">
        <v>83</v>
      </c>
      <c r="F16" s="44">
        <v>0.04</v>
      </c>
      <c r="H16" s="91">
        <v>0</v>
      </c>
      <c r="I16" s="91">
        <f t="shared" si="2"/>
        <v>0.04</v>
      </c>
      <c r="K16" s="147">
        <v>0.06</v>
      </c>
      <c r="L16" s="2"/>
      <c r="M16" s="141">
        <f t="shared" si="0"/>
        <v>2.3999999999999998E-3</v>
      </c>
      <c r="P16" s="132">
        <f>8%</f>
        <v>0.08</v>
      </c>
      <c r="Q16" s="2"/>
      <c r="R16" s="141">
        <f t="shared" si="1"/>
        <v>3.2000000000000002E-3</v>
      </c>
      <c r="S16" s="165"/>
      <c r="U16" s="168"/>
      <c r="V16" s="169"/>
      <c r="Y16" s="184"/>
    </row>
    <row r="17" spans="2:28" ht="15.75" thickBot="1" x14ac:dyDescent="0.3">
      <c r="B17" s="81"/>
      <c r="C17" s="78"/>
      <c r="D17" s="88"/>
      <c r="E17" s="116" t="s">
        <v>51</v>
      </c>
      <c r="F17" s="37">
        <v>0.05</v>
      </c>
      <c r="G17" s="38"/>
      <c r="H17" s="91">
        <f>'Q4 16'!F13</f>
        <v>0.05</v>
      </c>
      <c r="I17" s="91">
        <f t="shared" si="2"/>
        <v>0</v>
      </c>
      <c r="K17" s="147">
        <v>0.04</v>
      </c>
      <c r="L17" s="2"/>
      <c r="M17" s="141">
        <f t="shared" si="0"/>
        <v>2E-3</v>
      </c>
      <c r="P17" s="132">
        <v>0.1</v>
      </c>
      <c r="Q17" s="2"/>
      <c r="R17" s="141">
        <f t="shared" si="1"/>
        <v>5.000000000000001E-3</v>
      </c>
      <c r="S17" s="165"/>
      <c r="U17" s="168" t="s">
        <v>65</v>
      </c>
      <c r="V17" s="169" t="s">
        <v>66</v>
      </c>
      <c r="Y17" s="184"/>
    </row>
    <row r="18" spans="2:28" ht="19.5" thickBot="1" x14ac:dyDescent="0.35">
      <c r="B18" s="80" t="s">
        <v>10</v>
      </c>
      <c r="C18" s="86">
        <v>0.15</v>
      </c>
      <c r="D18" s="75">
        <f>SUM(F18:F24)</f>
        <v>0.11</v>
      </c>
      <c r="E18" s="117" t="s">
        <v>77</v>
      </c>
      <c r="F18" s="45">
        <v>0.03</v>
      </c>
      <c r="G18" s="35"/>
      <c r="H18" s="91">
        <f>'Q4 16'!F14</f>
        <v>0.05</v>
      </c>
      <c r="I18" s="96">
        <f t="shared" si="2"/>
        <v>-2.0000000000000004E-2</v>
      </c>
      <c r="K18" s="147">
        <v>0.1</v>
      </c>
      <c r="L18" s="2"/>
      <c r="M18" s="141">
        <f t="shared" si="0"/>
        <v>3.0000000000000001E-3</v>
      </c>
      <c r="P18" s="132">
        <v>0.1</v>
      </c>
      <c r="Q18" s="2"/>
      <c r="R18" s="141">
        <f t="shared" si="1"/>
        <v>3.0000000000000001E-3</v>
      </c>
      <c r="S18" s="165"/>
      <c r="U18" s="170"/>
      <c r="V18" s="175">
        <v>-2.7699999999999999E-2</v>
      </c>
      <c r="Y18" s="184"/>
    </row>
    <row r="19" spans="2:28" ht="15.75" thickBot="1" x14ac:dyDescent="0.3">
      <c r="B19" s="82"/>
      <c r="C19" s="79"/>
      <c r="D19" s="98"/>
      <c r="E19" s="30" t="s">
        <v>38</v>
      </c>
      <c r="F19" s="44">
        <v>0.05</v>
      </c>
      <c r="G19" s="43"/>
      <c r="H19" s="91">
        <f>'Q4 16'!F12</f>
        <v>0.05</v>
      </c>
      <c r="I19" s="91">
        <f>F19-H19</f>
        <v>0</v>
      </c>
      <c r="K19" s="147">
        <v>3.5000000000000003E-2</v>
      </c>
      <c r="L19" s="2"/>
      <c r="M19" s="141">
        <f>K19*F19</f>
        <v>1.7500000000000003E-3</v>
      </c>
      <c r="P19" s="132">
        <v>0.05</v>
      </c>
      <c r="Q19" s="2"/>
      <c r="R19" s="141">
        <f>P19*F19</f>
        <v>2.5000000000000005E-3</v>
      </c>
      <c r="S19" s="165"/>
      <c r="Y19" s="185">
        <v>0.02</v>
      </c>
    </row>
    <row r="20" spans="2:28" ht="15.75" thickBot="1" x14ac:dyDescent="0.3">
      <c r="B20" s="82"/>
      <c r="C20" s="79"/>
      <c r="D20" s="97"/>
      <c r="E20" s="115" t="s">
        <v>56</v>
      </c>
      <c r="F20" s="44">
        <v>0.03</v>
      </c>
      <c r="G20" s="43"/>
      <c r="H20" s="91">
        <f>'Q4 16'!F16</f>
        <v>0.03</v>
      </c>
      <c r="I20" s="91">
        <f t="shared" si="2"/>
        <v>0</v>
      </c>
      <c r="K20" s="147">
        <v>0.06</v>
      </c>
      <c r="L20" s="2"/>
      <c r="M20" s="141">
        <f t="shared" si="0"/>
        <v>1.8E-3</v>
      </c>
      <c r="P20" s="132">
        <v>0.05</v>
      </c>
      <c r="Q20" s="2"/>
      <c r="R20" s="141">
        <f t="shared" si="1"/>
        <v>1.5E-3</v>
      </c>
      <c r="S20" s="165"/>
      <c r="Y20" s="184"/>
    </row>
    <row r="21" spans="2:28" ht="15.75" thickBot="1" x14ac:dyDescent="0.3">
      <c r="B21" s="82"/>
      <c r="C21" s="79"/>
      <c r="D21" s="125" t="s">
        <v>46</v>
      </c>
      <c r="E21" s="30" t="s">
        <v>21</v>
      </c>
      <c r="F21" s="44">
        <v>0</v>
      </c>
      <c r="G21" s="43"/>
      <c r="H21" s="91">
        <v>0</v>
      </c>
      <c r="I21" s="91">
        <f>F21-H21</f>
        <v>0</v>
      </c>
      <c r="K21" s="147">
        <v>7.4999999999999997E-2</v>
      </c>
      <c r="L21" s="2"/>
      <c r="M21" s="141">
        <f>K21*F21</f>
        <v>0</v>
      </c>
      <c r="P21" s="132">
        <v>0.1</v>
      </c>
      <c r="Q21" s="2"/>
      <c r="R21" s="141">
        <f>P21*F21</f>
        <v>0</v>
      </c>
      <c r="S21" s="165"/>
      <c r="Y21" s="185">
        <v>0.04</v>
      </c>
    </row>
    <row r="22" spans="2:28" ht="15.75" thickBot="1" x14ac:dyDescent="0.3">
      <c r="B22" s="82"/>
      <c r="C22" s="79"/>
      <c r="D22" s="154" t="s">
        <v>46</v>
      </c>
      <c r="E22" s="115" t="s">
        <v>78</v>
      </c>
      <c r="F22" s="44">
        <v>0</v>
      </c>
      <c r="G22" s="43"/>
      <c r="H22" s="91">
        <v>0</v>
      </c>
      <c r="I22" s="91">
        <f t="shared" si="2"/>
        <v>0</v>
      </c>
      <c r="K22" s="147">
        <v>0.08</v>
      </c>
      <c r="L22" s="2"/>
      <c r="M22" s="141">
        <f>K22*F22</f>
        <v>0</v>
      </c>
      <c r="P22" s="132">
        <v>0.12</v>
      </c>
      <c r="Q22" s="2"/>
      <c r="R22" s="141">
        <f>P22*F22</f>
        <v>0</v>
      </c>
      <c r="S22" s="165"/>
      <c r="Y22" s="185">
        <v>0.02</v>
      </c>
    </row>
    <row r="23" spans="2:28" ht="15.75" thickBot="1" x14ac:dyDescent="0.3">
      <c r="B23" s="82"/>
      <c r="C23" s="79"/>
      <c r="D23" s="98"/>
      <c r="E23" s="118" t="s">
        <v>23</v>
      </c>
      <c r="F23" s="44">
        <v>0</v>
      </c>
      <c r="G23" s="43"/>
      <c r="H23" s="91">
        <f>'Q4 16'!F17</f>
        <v>0.03</v>
      </c>
      <c r="I23" s="128">
        <f t="shared" si="2"/>
        <v>-0.03</v>
      </c>
      <c r="K23" s="147">
        <v>0.05</v>
      </c>
      <c r="L23" s="2"/>
      <c r="M23" s="141">
        <f t="shared" si="0"/>
        <v>0</v>
      </c>
      <c r="P23" s="132">
        <v>0.04</v>
      </c>
      <c r="Q23" s="2"/>
      <c r="R23" s="141">
        <f t="shared" si="1"/>
        <v>0</v>
      </c>
      <c r="S23" s="165"/>
      <c r="Y23" s="184"/>
    </row>
    <row r="24" spans="2:28" ht="15.75" thickBot="1" x14ac:dyDescent="0.3">
      <c r="B24" s="81"/>
      <c r="C24" s="78"/>
      <c r="D24" s="99"/>
      <c r="E24" s="119" t="s">
        <v>39</v>
      </c>
      <c r="F24" s="39">
        <v>0</v>
      </c>
      <c r="G24" s="38"/>
      <c r="H24" s="91">
        <f>'Q4 16'!F18</f>
        <v>0</v>
      </c>
      <c r="I24" s="91">
        <f t="shared" si="2"/>
        <v>0</v>
      </c>
      <c r="K24" s="147">
        <v>0.05</v>
      </c>
      <c r="L24" s="2"/>
      <c r="M24" s="141">
        <f t="shared" si="0"/>
        <v>0</v>
      </c>
      <c r="P24" s="132">
        <v>0.04</v>
      </c>
      <c r="Q24" s="2"/>
      <c r="R24" s="141">
        <f t="shared" si="1"/>
        <v>0</v>
      </c>
      <c r="S24" s="165"/>
      <c r="Y24" s="185">
        <v>0.03</v>
      </c>
    </row>
    <row r="25" spans="2:28" ht="15.75" thickBot="1" x14ac:dyDescent="0.3">
      <c r="B25" s="80" t="s">
        <v>11</v>
      </c>
      <c r="C25" s="86">
        <v>1</v>
      </c>
      <c r="D25" s="90">
        <f>100%-D18-D11-D8</f>
        <v>0.16</v>
      </c>
      <c r="E25" s="47"/>
      <c r="F25" s="46"/>
      <c r="H25" s="127">
        <f>'Q4 16'!D19</f>
        <v>0.17999999999999994</v>
      </c>
      <c r="I25" s="128">
        <f>D25-'Q4 16'!D19</f>
        <v>-1.9999999999999934E-2</v>
      </c>
      <c r="K25" s="159">
        <v>0</v>
      </c>
      <c r="L25" s="7"/>
      <c r="M25" s="142">
        <f>K25*D25</f>
        <v>0</v>
      </c>
      <c r="P25" s="180">
        <v>0</v>
      </c>
      <c r="Q25" s="7"/>
      <c r="R25" s="142"/>
      <c r="S25" s="165"/>
      <c r="Y25" s="184"/>
    </row>
    <row r="26" spans="2:28" ht="15.75" thickBot="1" x14ac:dyDescent="0.3">
      <c r="B26" s="89"/>
      <c r="D26" s="135"/>
      <c r="E26" s="43"/>
      <c r="F26" s="43"/>
      <c r="G26" s="75">
        <v>0</v>
      </c>
      <c r="H26" s="136"/>
      <c r="I26" s="136"/>
      <c r="J26" s="80" t="s">
        <v>44</v>
      </c>
      <c r="K26" s="137">
        <v>0.04</v>
      </c>
      <c r="L26" s="32"/>
      <c r="M26" s="143">
        <f>K26*G26</f>
        <v>0</v>
      </c>
      <c r="P26" s="138">
        <v>0.05</v>
      </c>
      <c r="Q26" s="32"/>
      <c r="R26" s="143">
        <f>P26*G26</f>
        <v>0</v>
      </c>
      <c r="S26" s="165"/>
      <c r="Y26" s="186"/>
    </row>
    <row r="27" spans="2:28" x14ac:dyDescent="0.25">
      <c r="H27" s="94"/>
      <c r="I27" s="94"/>
      <c r="M27" s="131"/>
      <c r="R27" s="131"/>
      <c r="S27" s="131"/>
    </row>
    <row r="28" spans="2:28" ht="15.75" thickBot="1" x14ac:dyDescent="0.3">
      <c r="H28" s="94"/>
      <c r="I28" s="94"/>
      <c r="M28" s="131"/>
      <c r="R28" s="131"/>
      <c r="S28" s="131"/>
    </row>
    <row r="29" spans="2:28" ht="19.5" thickBot="1" x14ac:dyDescent="0.35">
      <c r="B29" s="57" t="s">
        <v>12</v>
      </c>
      <c r="C29" s="58"/>
      <c r="D29" s="58"/>
      <c r="E29" s="58"/>
      <c r="F29" s="58"/>
      <c r="G29" s="59"/>
      <c r="H29" s="95"/>
      <c r="I29" s="95"/>
      <c r="K29" s="9" t="s">
        <v>40</v>
      </c>
      <c r="L29" s="133"/>
      <c r="M29" s="134">
        <f>SUM(M32:M52)</f>
        <v>4.300000000000001E-2</v>
      </c>
      <c r="P29" s="9" t="str">
        <f>P4</f>
        <v>Risk=</v>
      </c>
      <c r="Q29" s="133"/>
      <c r="R29" s="134">
        <f>SUM(R32:R53)</f>
        <v>7.3300000000000018E-2</v>
      </c>
      <c r="X29" s="131">
        <f>D32/C32</f>
        <v>1.0000000000000002</v>
      </c>
      <c r="Y29" s="183" t="s">
        <v>87</v>
      </c>
    </row>
    <row r="30" spans="2:28" ht="19.5" thickBot="1" x14ac:dyDescent="0.35">
      <c r="B30" s="60"/>
      <c r="C30" s="61"/>
      <c r="D30" s="61"/>
      <c r="E30" s="61"/>
      <c r="F30" s="61"/>
      <c r="G30" s="62"/>
      <c r="H30" s="108" t="str">
        <f>H6</f>
        <v>Q4 16</v>
      </c>
      <c r="I30" s="109" t="str">
        <f>I6</f>
        <v xml:space="preserve">Delta (Q1-Q4) </v>
      </c>
      <c r="K30" s="149"/>
      <c r="L30" s="150"/>
      <c r="M30" s="152"/>
      <c r="P30" s="149"/>
      <c r="Q30" s="150"/>
      <c r="R30" s="151"/>
      <c r="Y30" s="184"/>
      <c r="Z30">
        <f>60000000</f>
        <v>60000000</v>
      </c>
      <c r="AB30">
        <f>Z30*F47</f>
        <v>0</v>
      </c>
    </row>
    <row r="31" spans="2:28" ht="15.75" thickBot="1" x14ac:dyDescent="0.3">
      <c r="B31" s="48" t="s">
        <v>1</v>
      </c>
      <c r="C31" s="49"/>
      <c r="D31" s="19" t="str">
        <f>D7</f>
        <v>Q1 2017</v>
      </c>
      <c r="E31" s="19" t="s">
        <v>4</v>
      </c>
      <c r="F31" s="50" t="s">
        <v>5</v>
      </c>
      <c r="G31" s="50" t="s">
        <v>15</v>
      </c>
      <c r="H31" s="95"/>
      <c r="I31" s="95"/>
      <c r="K31" s="1"/>
      <c r="L31" s="2"/>
      <c r="M31" s="141"/>
      <c r="P31" s="1"/>
      <c r="Q31" s="2"/>
      <c r="R31" s="141"/>
      <c r="S31" s="165"/>
      <c r="Y31" s="184"/>
    </row>
    <row r="32" spans="2:28" ht="15.75" thickBot="1" x14ac:dyDescent="0.3">
      <c r="B32" s="23" t="s">
        <v>2</v>
      </c>
      <c r="C32" s="85">
        <v>0.3</v>
      </c>
      <c r="D32" s="75">
        <f>SUM(F32:F37)</f>
        <v>0.30000000000000004</v>
      </c>
      <c r="E32" s="112" t="s">
        <v>49</v>
      </c>
      <c r="F32" s="34">
        <v>0.19</v>
      </c>
      <c r="G32" s="41"/>
      <c r="H32" s="91">
        <f>'Q4 16'!F26</f>
        <v>0.19</v>
      </c>
      <c r="I32" s="91">
        <f>F32-H32</f>
        <v>0</v>
      </c>
      <c r="K32" s="147">
        <f>K8</f>
        <v>0.06</v>
      </c>
      <c r="L32" s="2"/>
      <c r="M32" s="141">
        <f t="shared" ref="M32:M51" si="3">K32*F32</f>
        <v>1.14E-2</v>
      </c>
      <c r="P32" s="132">
        <f>P8</f>
        <v>0.15</v>
      </c>
      <c r="Q32" s="2"/>
      <c r="R32" s="141">
        <f t="shared" ref="R32:R51" si="4">P32*F32</f>
        <v>2.8499999999999998E-2</v>
      </c>
      <c r="S32" s="165"/>
      <c r="U32" s="166" t="s">
        <v>60</v>
      </c>
      <c r="V32" s="173" t="s">
        <v>61</v>
      </c>
      <c r="Y32" s="184"/>
    </row>
    <row r="33" spans="2:25" ht="19.5" thickBot="1" x14ac:dyDescent="0.35">
      <c r="B33" s="53"/>
      <c r="C33" s="76"/>
      <c r="D33" s="103"/>
      <c r="E33" s="29" t="s">
        <v>22</v>
      </c>
      <c r="F33" s="44">
        <v>0</v>
      </c>
      <c r="G33" s="42"/>
      <c r="H33" s="91">
        <f>'Q4 16'!F27</f>
        <v>0.02</v>
      </c>
      <c r="I33" s="96">
        <f t="shared" ref="I33:I51" si="5">F33-H33</f>
        <v>-0.02</v>
      </c>
      <c r="K33" s="147">
        <v>0.08</v>
      </c>
      <c r="L33" s="2"/>
      <c r="M33" s="141">
        <f t="shared" si="3"/>
        <v>0</v>
      </c>
      <c r="P33" s="132">
        <v>0.2</v>
      </c>
      <c r="Q33" s="2"/>
      <c r="R33" s="141">
        <f t="shared" si="4"/>
        <v>0</v>
      </c>
      <c r="S33" s="165"/>
      <c r="U33" s="168" t="s">
        <v>62</v>
      </c>
      <c r="V33" s="171">
        <v>-4.65E-2</v>
      </c>
      <c r="Y33" s="184"/>
    </row>
    <row r="34" spans="2:25" ht="19.5" thickBot="1" x14ac:dyDescent="0.35">
      <c r="B34" s="53"/>
      <c r="C34" s="76"/>
      <c r="D34" s="82"/>
      <c r="E34" s="29" t="s">
        <v>18</v>
      </c>
      <c r="F34" s="44">
        <v>0.04</v>
      </c>
      <c r="G34" s="42"/>
      <c r="H34" s="100">
        <v>0.03</v>
      </c>
      <c r="I34" s="91">
        <f>F34-H34</f>
        <v>1.0000000000000002E-2</v>
      </c>
      <c r="K34" s="147">
        <f>K9</f>
        <v>0.02</v>
      </c>
      <c r="L34" s="2"/>
      <c r="M34" s="141">
        <f>K34*F34</f>
        <v>8.0000000000000004E-4</v>
      </c>
      <c r="P34" s="132">
        <f>P9</f>
        <v>0.02</v>
      </c>
      <c r="Q34" s="2"/>
      <c r="R34" s="141">
        <f>P34*F34</f>
        <v>8.0000000000000004E-4</v>
      </c>
      <c r="S34" s="165"/>
      <c r="U34" s="168"/>
      <c r="V34" s="171"/>
      <c r="Y34" s="184"/>
    </row>
    <row r="35" spans="2:25" ht="19.5" thickBot="1" x14ac:dyDescent="0.35">
      <c r="B35" s="53"/>
      <c r="C35" s="76"/>
      <c r="D35" s="98"/>
      <c r="E35" s="30" t="s">
        <v>80</v>
      </c>
      <c r="F35" s="44">
        <v>0.02</v>
      </c>
      <c r="G35" s="42"/>
      <c r="H35" s="92">
        <v>0</v>
      </c>
      <c r="I35" s="91">
        <f>F35-H35</f>
        <v>0.02</v>
      </c>
      <c r="K35" s="147">
        <v>0.08</v>
      </c>
      <c r="L35" s="2"/>
      <c r="M35" s="141">
        <f>K35*F35</f>
        <v>1.6000000000000001E-3</v>
      </c>
      <c r="P35" s="132">
        <v>7.0000000000000007E-2</v>
      </c>
      <c r="Q35" s="2"/>
      <c r="R35" s="141">
        <f>P35*F35</f>
        <v>1.4000000000000002E-3</v>
      </c>
      <c r="S35" s="165"/>
      <c r="U35" s="168"/>
      <c r="V35" s="171"/>
      <c r="Y35" s="184"/>
    </row>
    <row r="36" spans="2:25" ht="19.5" thickBot="1" x14ac:dyDescent="0.35">
      <c r="B36" s="53"/>
      <c r="C36" s="76"/>
      <c r="D36" s="98"/>
      <c r="E36" s="30" t="s">
        <v>81</v>
      </c>
      <c r="F36" s="44">
        <v>0.02</v>
      </c>
      <c r="G36" s="42"/>
      <c r="H36" s="91">
        <v>0</v>
      </c>
      <c r="I36" s="91">
        <f t="shared" si="5"/>
        <v>0.02</v>
      </c>
      <c r="K36" s="147">
        <v>0.08</v>
      </c>
      <c r="L36" s="2"/>
      <c r="M36" s="141">
        <f t="shared" si="3"/>
        <v>1.6000000000000001E-3</v>
      </c>
      <c r="P36" s="132">
        <v>0.18</v>
      </c>
      <c r="Q36" s="2"/>
      <c r="R36" s="141">
        <f t="shared" si="4"/>
        <v>3.5999999999999999E-3</v>
      </c>
      <c r="S36" s="165"/>
      <c r="U36" s="168"/>
      <c r="V36" s="171"/>
      <c r="Y36" s="184"/>
    </row>
    <row r="37" spans="2:25" ht="19.5" thickBot="1" x14ac:dyDescent="0.35">
      <c r="B37" s="54"/>
      <c r="C37" s="77"/>
      <c r="D37" s="81"/>
      <c r="E37" s="113" t="s">
        <v>82</v>
      </c>
      <c r="F37" s="37">
        <v>0.03</v>
      </c>
      <c r="G37" s="36"/>
      <c r="H37" s="91">
        <f>'Q4 16'!F28</f>
        <v>0</v>
      </c>
      <c r="I37" s="91">
        <f t="shared" si="5"/>
        <v>0.03</v>
      </c>
      <c r="K37" s="147">
        <f>K10</f>
        <v>0.08</v>
      </c>
      <c r="L37" s="2"/>
      <c r="M37" s="141">
        <f t="shared" si="3"/>
        <v>2.3999999999999998E-3</v>
      </c>
      <c r="P37" s="132">
        <f>P10</f>
        <v>0.18</v>
      </c>
      <c r="Q37" s="2"/>
      <c r="R37" s="141">
        <f t="shared" si="4"/>
        <v>5.3999999999999994E-3</v>
      </c>
      <c r="S37" s="165"/>
      <c r="U37" s="168"/>
      <c r="V37" s="171"/>
      <c r="Y37" s="184"/>
    </row>
    <row r="38" spans="2:25" ht="15.75" thickBot="1" x14ac:dyDescent="0.3">
      <c r="B38" s="23" t="s">
        <v>3</v>
      </c>
      <c r="C38" s="86">
        <v>0.8</v>
      </c>
      <c r="D38" s="75">
        <f>SUM(F38:F42)</f>
        <v>0.37999999999999995</v>
      </c>
      <c r="E38" s="114" t="s">
        <v>50</v>
      </c>
      <c r="F38" s="34">
        <v>0.3</v>
      </c>
      <c r="G38" s="41"/>
      <c r="H38" s="91">
        <f>'Q4 16'!F29</f>
        <v>0.3</v>
      </c>
      <c r="I38" s="91">
        <f t="shared" si="5"/>
        <v>0</v>
      </c>
      <c r="K38" s="147">
        <f>K11</f>
        <v>3.5000000000000003E-2</v>
      </c>
      <c r="L38" s="2"/>
      <c r="M38" s="141">
        <f t="shared" si="3"/>
        <v>1.0500000000000001E-2</v>
      </c>
      <c r="P38" s="132">
        <f>P11</f>
        <v>5.5E-2</v>
      </c>
      <c r="Q38" s="2"/>
      <c r="R38" s="141">
        <f t="shared" si="4"/>
        <v>1.6500000000000001E-2</v>
      </c>
      <c r="S38" s="165"/>
      <c r="U38" s="168" t="s">
        <v>63</v>
      </c>
      <c r="V38" s="174" t="s">
        <v>64</v>
      </c>
      <c r="Y38" s="184"/>
    </row>
    <row r="39" spans="2:25" ht="19.5" thickBot="1" x14ac:dyDescent="0.35">
      <c r="B39" s="53"/>
      <c r="C39" s="79"/>
      <c r="D39" s="98"/>
      <c r="E39" s="30" t="s">
        <v>84</v>
      </c>
      <c r="F39" s="44">
        <v>0.04</v>
      </c>
      <c r="G39" s="43"/>
      <c r="H39" s="91">
        <v>0</v>
      </c>
      <c r="I39" s="91">
        <f>F39-H39</f>
        <v>0.04</v>
      </c>
      <c r="K39" s="147">
        <v>0.03</v>
      </c>
      <c r="L39" s="2"/>
      <c r="M39" s="141">
        <f t="shared" si="3"/>
        <v>1.1999999999999999E-3</v>
      </c>
      <c r="P39" s="132">
        <v>2.5000000000000001E-2</v>
      </c>
      <c r="Q39" s="2"/>
      <c r="R39" s="141">
        <f t="shared" si="4"/>
        <v>1E-3</v>
      </c>
      <c r="S39" s="165"/>
      <c r="U39" s="168"/>
      <c r="V39" s="171">
        <v>-4.1099999999999998E-2</v>
      </c>
      <c r="Y39" s="184"/>
    </row>
    <row r="40" spans="2:25" ht="19.5" thickBot="1" x14ac:dyDescent="0.35">
      <c r="B40" s="53"/>
      <c r="C40" s="79"/>
      <c r="D40" s="82"/>
      <c r="E40" s="129" t="s">
        <v>86</v>
      </c>
      <c r="F40" s="130">
        <v>0</v>
      </c>
      <c r="G40" s="42"/>
      <c r="H40" s="92">
        <v>0</v>
      </c>
      <c r="I40" s="91">
        <f t="shared" si="5"/>
        <v>0</v>
      </c>
      <c r="K40" s="147">
        <f>K13</f>
        <v>0.04</v>
      </c>
      <c r="L40" s="2"/>
      <c r="M40" s="141">
        <f t="shared" si="3"/>
        <v>0</v>
      </c>
      <c r="P40" s="132">
        <f>P13</f>
        <v>0.12</v>
      </c>
      <c r="Q40" s="2"/>
      <c r="R40" s="141">
        <f t="shared" si="4"/>
        <v>0</v>
      </c>
      <c r="S40" s="165"/>
      <c r="U40" s="168"/>
      <c r="V40" s="171"/>
      <c r="Y40" s="184"/>
    </row>
    <row r="41" spans="2:25" ht="19.5" thickBot="1" x14ac:dyDescent="0.35">
      <c r="B41" s="53"/>
      <c r="C41" s="79"/>
      <c r="D41" s="98"/>
      <c r="E41" s="30" t="s">
        <v>76</v>
      </c>
      <c r="F41" s="44">
        <v>0</v>
      </c>
      <c r="G41" s="42"/>
      <c r="H41" s="92">
        <v>0</v>
      </c>
      <c r="I41" s="91">
        <f t="shared" si="5"/>
        <v>0</v>
      </c>
      <c r="K41" s="147">
        <f>K15</f>
        <v>0.03</v>
      </c>
      <c r="L41" s="2"/>
      <c r="M41" s="141">
        <f t="shared" si="3"/>
        <v>0</v>
      </c>
      <c r="P41" s="132">
        <f>P15</f>
        <v>7.0000000000000007E-2</v>
      </c>
      <c r="Q41" s="2"/>
      <c r="R41" s="141">
        <f t="shared" si="4"/>
        <v>0</v>
      </c>
      <c r="S41" s="165"/>
      <c r="U41" s="168"/>
      <c r="V41" s="171"/>
      <c r="Y41" s="184"/>
    </row>
    <row r="42" spans="2:25" ht="15.75" thickBot="1" x14ac:dyDescent="0.3">
      <c r="B42" s="54"/>
      <c r="C42" s="78"/>
      <c r="D42" s="81"/>
      <c r="E42" s="116" t="s">
        <v>51</v>
      </c>
      <c r="F42" s="37">
        <v>0.04</v>
      </c>
      <c r="G42" s="36"/>
      <c r="H42" s="93">
        <f>'Q4 16'!F32</f>
        <v>0.05</v>
      </c>
      <c r="I42" s="96">
        <f t="shared" si="5"/>
        <v>-1.0000000000000002E-2</v>
      </c>
      <c r="K42" s="147">
        <f>K17</f>
        <v>0.04</v>
      </c>
      <c r="L42" s="2"/>
      <c r="M42" s="141">
        <f t="shared" si="3"/>
        <v>1.6000000000000001E-3</v>
      </c>
      <c r="P42" s="132">
        <f>P17</f>
        <v>0.1</v>
      </c>
      <c r="Q42" s="2"/>
      <c r="R42" s="141">
        <f t="shared" si="4"/>
        <v>4.0000000000000001E-3</v>
      </c>
      <c r="S42" s="165"/>
      <c r="U42" s="168" t="s">
        <v>65</v>
      </c>
      <c r="V42" s="174" t="s">
        <v>66</v>
      </c>
      <c r="Y42" s="184"/>
    </row>
    <row r="43" spans="2:25" ht="19.5" thickBot="1" x14ac:dyDescent="0.35">
      <c r="B43" s="56" t="s">
        <v>10</v>
      </c>
      <c r="C43" s="86">
        <v>0.25</v>
      </c>
      <c r="D43" s="75">
        <f>SUM(F43:F51)</f>
        <v>0.2</v>
      </c>
      <c r="E43" s="117" t="s">
        <v>77</v>
      </c>
      <c r="F43" s="45">
        <v>0.03</v>
      </c>
      <c r="G43" s="41"/>
      <c r="H43" s="92">
        <v>0</v>
      </c>
      <c r="I43" s="91">
        <f t="shared" si="5"/>
        <v>0.03</v>
      </c>
      <c r="K43" s="147">
        <f>K18</f>
        <v>0.1</v>
      </c>
      <c r="L43" s="2"/>
      <c r="M43" s="141">
        <f t="shared" si="3"/>
        <v>3.0000000000000001E-3</v>
      </c>
      <c r="P43" s="132">
        <f>P18</f>
        <v>0.1</v>
      </c>
      <c r="Q43" s="2"/>
      <c r="R43" s="141">
        <f t="shared" si="4"/>
        <v>3.0000000000000001E-3</v>
      </c>
      <c r="S43" s="165"/>
      <c r="U43" s="168"/>
      <c r="V43" s="171">
        <v>-3.9199999999999999E-2</v>
      </c>
      <c r="Y43" s="185">
        <v>0.02</v>
      </c>
    </row>
    <row r="44" spans="2:25" ht="15.75" thickBot="1" x14ac:dyDescent="0.3">
      <c r="B44" s="83"/>
      <c r="C44" s="84"/>
      <c r="D44" s="98"/>
      <c r="E44" s="30" t="s">
        <v>21</v>
      </c>
      <c r="F44" s="44">
        <v>0</v>
      </c>
      <c r="G44" s="42"/>
      <c r="H44" s="92">
        <v>0</v>
      </c>
      <c r="I44" s="91">
        <f>F44-H44</f>
        <v>0</v>
      </c>
      <c r="K44" s="147">
        <f>K21</f>
        <v>7.4999999999999997E-2</v>
      </c>
      <c r="L44" s="2"/>
      <c r="M44" s="141">
        <f>K44*F44</f>
        <v>0</v>
      </c>
      <c r="P44" s="132">
        <f>P21</f>
        <v>0.1</v>
      </c>
      <c r="Q44" s="2"/>
      <c r="R44" s="141">
        <f>P44*F44</f>
        <v>0</v>
      </c>
      <c r="U44" s="170"/>
      <c r="V44" s="172"/>
      <c r="Y44" s="185">
        <v>0.04</v>
      </c>
    </row>
    <row r="45" spans="2:25" ht="15.75" thickBot="1" x14ac:dyDescent="0.3">
      <c r="B45" s="53"/>
      <c r="C45" s="79"/>
      <c r="D45" s="98"/>
      <c r="E45" s="30" t="s">
        <v>23</v>
      </c>
      <c r="F45" s="44">
        <v>0.04</v>
      </c>
      <c r="G45" s="42"/>
      <c r="H45" s="100">
        <v>0.05</v>
      </c>
      <c r="I45" s="96">
        <f t="shared" si="5"/>
        <v>-1.0000000000000002E-2</v>
      </c>
      <c r="K45" s="147">
        <f>K23</f>
        <v>0.05</v>
      </c>
      <c r="L45" s="2"/>
      <c r="M45" s="141">
        <f t="shared" si="3"/>
        <v>2E-3</v>
      </c>
      <c r="P45" s="132">
        <f>P23</f>
        <v>0.04</v>
      </c>
      <c r="Q45" s="2"/>
      <c r="R45" s="141">
        <f t="shared" si="4"/>
        <v>1.6000000000000001E-3</v>
      </c>
      <c r="S45" s="165"/>
      <c r="Y45" s="184"/>
    </row>
    <row r="46" spans="2:25" ht="15.75" thickBot="1" x14ac:dyDescent="0.3">
      <c r="B46" s="53"/>
      <c r="C46" s="79"/>
      <c r="D46" s="98"/>
      <c r="E46" s="30" t="s">
        <v>38</v>
      </c>
      <c r="F46" s="44">
        <v>0.04</v>
      </c>
      <c r="G46" s="42"/>
      <c r="H46" s="92">
        <f>'Q4 16'!F31</f>
        <v>0.04</v>
      </c>
      <c r="I46" s="91">
        <f>F46-H46</f>
        <v>0</v>
      </c>
      <c r="K46" s="147">
        <f>K19</f>
        <v>3.5000000000000003E-2</v>
      </c>
      <c r="L46" s="2"/>
      <c r="M46" s="141">
        <f>K46*F46</f>
        <v>1.4000000000000002E-3</v>
      </c>
      <c r="P46" s="132">
        <f>P19</f>
        <v>0.05</v>
      </c>
      <c r="Q46" s="2"/>
      <c r="R46" s="141">
        <f>P46*F46</f>
        <v>2E-3</v>
      </c>
      <c r="S46" s="165"/>
      <c r="Y46" s="185">
        <v>0</v>
      </c>
    </row>
    <row r="47" spans="2:25" ht="15.75" thickBot="1" x14ac:dyDescent="0.3">
      <c r="B47" s="53"/>
      <c r="C47" s="79"/>
      <c r="D47" s="181" t="s">
        <v>46</v>
      </c>
      <c r="E47" s="30" t="s">
        <v>78</v>
      </c>
      <c r="F47" s="44">
        <v>0</v>
      </c>
      <c r="G47" s="42"/>
      <c r="H47" s="100">
        <v>0</v>
      </c>
      <c r="I47" s="91">
        <f t="shared" si="5"/>
        <v>0</v>
      </c>
      <c r="K47" s="147">
        <f>K22</f>
        <v>0.08</v>
      </c>
      <c r="L47" s="2"/>
      <c r="M47" s="141">
        <f>K47*F47</f>
        <v>0</v>
      </c>
      <c r="P47" s="132">
        <f>P22</f>
        <v>0.12</v>
      </c>
      <c r="Q47" s="2"/>
      <c r="R47" s="141">
        <f>P47*F47</f>
        <v>0</v>
      </c>
      <c r="S47" s="165"/>
      <c r="Y47" s="187">
        <v>2.5000000000000001E-2</v>
      </c>
    </row>
    <row r="48" spans="2:25" ht="15.75" thickBot="1" x14ac:dyDescent="0.3">
      <c r="B48" s="53"/>
      <c r="C48" s="79"/>
      <c r="D48" s="98"/>
      <c r="E48" s="30" t="s">
        <v>56</v>
      </c>
      <c r="F48" s="44">
        <v>0.04</v>
      </c>
      <c r="G48" s="42"/>
      <c r="H48" s="100">
        <v>0</v>
      </c>
      <c r="I48" s="91">
        <f t="shared" si="5"/>
        <v>0.04</v>
      </c>
      <c r="K48" s="147">
        <f>K23</f>
        <v>0.05</v>
      </c>
      <c r="L48" s="2"/>
      <c r="M48" s="141">
        <f t="shared" si="3"/>
        <v>2E-3</v>
      </c>
      <c r="P48" s="132">
        <f>P20</f>
        <v>0.05</v>
      </c>
      <c r="Q48" s="2"/>
      <c r="R48" s="141">
        <f t="shared" si="4"/>
        <v>2E-3</v>
      </c>
      <c r="S48" s="165"/>
      <c r="Y48" s="184"/>
    </row>
    <row r="49" spans="2:28" ht="15.75" thickBot="1" x14ac:dyDescent="0.3">
      <c r="B49" s="53"/>
      <c r="C49" s="79"/>
      <c r="D49" s="98"/>
      <c r="E49" s="30" t="s">
        <v>79</v>
      </c>
      <c r="F49" s="44">
        <v>0.02</v>
      </c>
      <c r="G49" s="42"/>
      <c r="H49" s="92">
        <v>0</v>
      </c>
      <c r="I49" s="91">
        <f t="shared" si="5"/>
        <v>0.02</v>
      </c>
      <c r="K49" s="147">
        <v>0.1</v>
      </c>
      <c r="L49" s="2"/>
      <c r="M49" s="141">
        <f>K49*F49</f>
        <v>2E-3</v>
      </c>
      <c r="P49" s="132">
        <v>0.1</v>
      </c>
      <c r="Q49" s="2"/>
      <c r="R49" s="141">
        <f>P49*F49</f>
        <v>2E-3</v>
      </c>
      <c r="S49" s="165"/>
      <c r="Y49" s="184"/>
    </row>
    <row r="50" spans="2:28" ht="15.75" thickBot="1" x14ac:dyDescent="0.3">
      <c r="B50" s="54"/>
      <c r="C50" s="78"/>
      <c r="D50" s="81"/>
      <c r="E50" s="31" t="s">
        <v>13</v>
      </c>
      <c r="F50" s="39">
        <v>0.03</v>
      </c>
      <c r="G50" s="36"/>
      <c r="H50" s="92">
        <v>0.04</v>
      </c>
      <c r="I50" s="96">
        <f t="shared" si="5"/>
        <v>-1.0000000000000002E-2</v>
      </c>
      <c r="K50" s="147">
        <v>0.05</v>
      </c>
      <c r="L50" s="2"/>
      <c r="M50" s="141">
        <f t="shared" si="3"/>
        <v>1.5E-3</v>
      </c>
      <c r="P50" s="132">
        <v>0.05</v>
      </c>
      <c r="Q50" s="2"/>
      <c r="R50" s="141">
        <f t="shared" si="4"/>
        <v>1.5E-3</v>
      </c>
      <c r="S50" s="165"/>
      <c r="Y50" s="184"/>
    </row>
    <row r="51" spans="2:28" ht="15.75" thickBot="1" x14ac:dyDescent="0.3">
      <c r="B51" s="54"/>
      <c r="C51" s="78"/>
      <c r="D51" s="99"/>
      <c r="E51" s="119" t="s">
        <v>39</v>
      </c>
      <c r="F51" s="37">
        <v>0</v>
      </c>
      <c r="G51" s="36"/>
      <c r="H51" s="92">
        <v>0</v>
      </c>
      <c r="I51" s="91">
        <f t="shared" si="5"/>
        <v>0</v>
      </c>
      <c r="K51" s="147">
        <f>K24</f>
        <v>0.05</v>
      </c>
      <c r="L51" s="2"/>
      <c r="M51" s="141">
        <f t="shared" si="3"/>
        <v>0</v>
      </c>
      <c r="P51" s="132">
        <f>P25</f>
        <v>0</v>
      </c>
      <c r="Q51" s="2"/>
      <c r="R51" s="141">
        <f t="shared" si="4"/>
        <v>0</v>
      </c>
      <c r="S51" s="165"/>
      <c r="Y51" s="185">
        <v>0.03</v>
      </c>
    </row>
    <row r="52" spans="2:28" ht="15.75" thickBot="1" x14ac:dyDescent="0.3">
      <c r="B52" s="55" t="s">
        <v>11</v>
      </c>
      <c r="C52" s="86">
        <v>1</v>
      </c>
      <c r="D52" s="87">
        <f>100%-D43-D38-D32</f>
        <v>0.12000000000000005</v>
      </c>
      <c r="E52" s="7"/>
      <c r="F52" s="40"/>
      <c r="H52" s="75">
        <v>0.16</v>
      </c>
      <c r="I52" s="128">
        <f>D52-H52</f>
        <v>-3.9999999999999952E-2</v>
      </c>
      <c r="K52" s="137">
        <f>K25</f>
        <v>0</v>
      </c>
      <c r="L52" s="32"/>
      <c r="M52" s="143">
        <f>K52*D52</f>
        <v>0</v>
      </c>
      <c r="P52" s="6"/>
      <c r="Q52" s="7"/>
      <c r="R52" s="142" t="s">
        <v>46</v>
      </c>
      <c r="S52" s="165"/>
      <c r="Y52" s="184"/>
    </row>
    <row r="53" spans="2:28" ht="15.75" thickBot="1" x14ac:dyDescent="0.3">
      <c r="G53" s="75">
        <v>0</v>
      </c>
      <c r="H53" s="94"/>
      <c r="M53" s="131"/>
      <c r="P53" s="138">
        <f>P26</f>
        <v>0.05</v>
      </c>
      <c r="Q53" s="32"/>
      <c r="R53" s="143">
        <f>P53*G53</f>
        <v>0</v>
      </c>
      <c r="S53" s="165"/>
      <c r="Y53" s="186"/>
    </row>
    <row r="54" spans="2:28" x14ac:dyDescent="0.25">
      <c r="D54" s="164">
        <f>D43+D38+D32</f>
        <v>0.88</v>
      </c>
      <c r="H54" s="94"/>
      <c r="M54" s="131"/>
      <c r="R54" s="131"/>
      <c r="S54" s="131"/>
    </row>
    <row r="55" spans="2:28" ht="15.75" thickBot="1" x14ac:dyDescent="0.3">
      <c r="H55" s="94"/>
      <c r="I55" s="94"/>
      <c r="M55" s="131"/>
      <c r="R55" s="131"/>
      <c r="S55" s="131"/>
    </row>
    <row r="56" spans="2:28" ht="19.5" thickBot="1" x14ac:dyDescent="0.35">
      <c r="B56" s="69" t="s">
        <v>14</v>
      </c>
      <c r="C56" s="70"/>
      <c r="D56" s="70"/>
      <c r="E56" s="70"/>
      <c r="F56" s="70"/>
      <c r="G56" s="71"/>
      <c r="H56" s="95"/>
      <c r="I56" s="95"/>
      <c r="K56" s="9" t="s">
        <v>40</v>
      </c>
      <c r="L56" s="133"/>
      <c r="M56" s="134">
        <f>SUM(M59:M76)</f>
        <v>5.3500000000000006E-2</v>
      </c>
      <c r="P56" s="9" t="str">
        <f>P29</f>
        <v>Risk=</v>
      </c>
      <c r="Q56" s="133"/>
      <c r="R56" s="134">
        <f>SUM(R59:R77)</f>
        <v>9.98E-2</v>
      </c>
      <c r="X56" s="131">
        <f>D59/C59</f>
        <v>0.80000000000000016</v>
      </c>
      <c r="Y56" s="183" t="s">
        <v>87</v>
      </c>
    </row>
    <row r="57" spans="2:28" ht="19.5" thickBot="1" x14ac:dyDescent="0.35">
      <c r="B57" s="72"/>
      <c r="C57" s="73"/>
      <c r="D57" s="73"/>
      <c r="E57" s="73"/>
      <c r="F57" s="73"/>
      <c r="G57" s="74"/>
      <c r="H57" s="110" t="str">
        <f>H30</f>
        <v>Q4 16</v>
      </c>
      <c r="I57" s="111" t="str">
        <f>I30</f>
        <v xml:space="preserve">Delta (Q1-Q4) </v>
      </c>
      <c r="K57" s="149"/>
      <c r="L57" s="150"/>
      <c r="M57" s="152"/>
      <c r="P57" s="149"/>
      <c r="Q57" s="150"/>
      <c r="R57" s="151"/>
      <c r="Y57" s="184"/>
      <c r="Z57">
        <f>20000000</f>
        <v>20000000</v>
      </c>
      <c r="AB57">
        <f>F71*Z57</f>
        <v>0</v>
      </c>
    </row>
    <row r="58" spans="2:28" ht="15.75" thickBot="1" x14ac:dyDescent="0.3">
      <c r="B58" s="48" t="s">
        <v>1</v>
      </c>
      <c r="C58" s="49"/>
      <c r="D58" s="19" t="str">
        <f>D31</f>
        <v>Q1 2017</v>
      </c>
      <c r="E58" s="19" t="s">
        <v>4</v>
      </c>
      <c r="F58" s="50" t="s">
        <v>5</v>
      </c>
      <c r="G58" s="50" t="s">
        <v>15</v>
      </c>
      <c r="H58" s="95"/>
      <c r="I58" s="95"/>
      <c r="K58" s="1"/>
      <c r="L58" s="2"/>
      <c r="M58" s="141"/>
      <c r="P58" s="162"/>
      <c r="Q58" s="21"/>
      <c r="R58" s="163"/>
      <c r="S58" s="165"/>
      <c r="Y58" s="184"/>
    </row>
    <row r="59" spans="2:28" ht="15.75" thickBot="1" x14ac:dyDescent="0.3">
      <c r="B59" s="23" t="s">
        <v>2</v>
      </c>
      <c r="C59" s="85">
        <v>0.7</v>
      </c>
      <c r="D59" s="75">
        <f>SUM(F59:F65)</f>
        <v>0.56000000000000005</v>
      </c>
      <c r="E59" s="112" t="s">
        <v>49</v>
      </c>
      <c r="F59" s="45">
        <v>0.38</v>
      </c>
      <c r="G59" s="35"/>
      <c r="H59" s="91">
        <v>0.42</v>
      </c>
      <c r="I59" s="96">
        <f t="shared" ref="I59:I75" si="6">F59-H59</f>
        <v>-3.999999999999998E-2</v>
      </c>
      <c r="K59" s="147">
        <f>K32</f>
        <v>0.06</v>
      </c>
      <c r="L59" s="2"/>
      <c r="M59" s="141">
        <f t="shared" ref="M59:M75" si="7">K59*F59</f>
        <v>2.2800000000000001E-2</v>
      </c>
      <c r="P59" s="132">
        <f>P8</f>
        <v>0.15</v>
      </c>
      <c r="Q59" s="2"/>
      <c r="R59" s="141">
        <f t="shared" ref="R59:R75" si="8">P59*F59</f>
        <v>5.6999999999999995E-2</v>
      </c>
      <c r="S59" s="165"/>
      <c r="U59" s="166" t="s">
        <v>60</v>
      </c>
      <c r="V59" s="167" t="s">
        <v>67</v>
      </c>
      <c r="Y59" s="184"/>
    </row>
    <row r="60" spans="2:28" ht="19.5" thickBot="1" x14ac:dyDescent="0.35">
      <c r="B60" s="53"/>
      <c r="C60" s="76"/>
      <c r="D60" s="82"/>
      <c r="E60" s="25" t="s">
        <v>46</v>
      </c>
      <c r="F60" s="44">
        <v>0</v>
      </c>
      <c r="G60" s="43"/>
      <c r="H60" s="100">
        <v>0.06</v>
      </c>
      <c r="I60" s="96">
        <f t="shared" si="6"/>
        <v>-0.06</v>
      </c>
      <c r="K60" s="147">
        <f>K37</f>
        <v>0.08</v>
      </c>
      <c r="L60" s="2"/>
      <c r="M60" s="141">
        <f t="shared" si="7"/>
        <v>0</v>
      </c>
      <c r="P60" s="132">
        <f>P10</f>
        <v>0.18</v>
      </c>
      <c r="Q60" s="2"/>
      <c r="R60" s="141">
        <f t="shared" si="8"/>
        <v>0</v>
      </c>
      <c r="S60" s="165"/>
      <c r="U60" s="168" t="s">
        <v>62</v>
      </c>
      <c r="V60" s="171">
        <v>-6.9599999999999995E-2</v>
      </c>
      <c r="Y60" s="184"/>
    </row>
    <row r="61" spans="2:28" ht="15.75" thickBot="1" x14ac:dyDescent="0.3">
      <c r="B61" s="53"/>
      <c r="C61" s="76"/>
      <c r="D61" s="98"/>
      <c r="E61" s="25" t="s">
        <v>22</v>
      </c>
      <c r="F61" s="44">
        <v>0.02</v>
      </c>
      <c r="G61" s="43"/>
      <c r="H61" s="100">
        <v>0.03</v>
      </c>
      <c r="I61" s="96">
        <f t="shared" si="6"/>
        <v>-9.9999999999999985E-3</v>
      </c>
      <c r="K61" s="147">
        <f>K33</f>
        <v>0.08</v>
      </c>
      <c r="L61" s="2"/>
      <c r="M61" s="141">
        <f t="shared" si="7"/>
        <v>1.6000000000000001E-3</v>
      </c>
      <c r="P61" s="132">
        <f>P33</f>
        <v>0.2</v>
      </c>
      <c r="Q61" s="2"/>
      <c r="R61" s="141">
        <f t="shared" si="8"/>
        <v>4.0000000000000001E-3</v>
      </c>
      <c r="S61" s="165"/>
      <c r="U61" s="168"/>
      <c r="V61" s="169"/>
      <c r="Y61" s="184"/>
    </row>
    <row r="62" spans="2:28" ht="15.75" thickBot="1" x14ac:dyDescent="0.3">
      <c r="B62" s="53"/>
      <c r="C62" s="76"/>
      <c r="D62" s="82"/>
      <c r="E62" s="145" t="s">
        <v>18</v>
      </c>
      <c r="F62" s="44">
        <v>0.05</v>
      </c>
      <c r="G62" s="33"/>
      <c r="H62" s="100">
        <f>'Q2 16'!I50</f>
        <v>0.04</v>
      </c>
      <c r="I62" s="146">
        <f>F62-H62</f>
        <v>1.0000000000000002E-2</v>
      </c>
      <c r="K62" s="147">
        <f>K34</f>
        <v>0.02</v>
      </c>
      <c r="L62" s="2"/>
      <c r="M62" s="141">
        <f>K62*F62</f>
        <v>1E-3</v>
      </c>
      <c r="P62" s="132">
        <f>P9</f>
        <v>0.02</v>
      </c>
      <c r="Q62" s="2"/>
      <c r="R62" s="141">
        <f>P62*F62</f>
        <v>1E-3</v>
      </c>
      <c r="S62" s="165"/>
      <c r="U62" s="168"/>
      <c r="V62" s="169"/>
      <c r="Y62" s="184"/>
    </row>
    <row r="63" spans="2:28" ht="15.75" thickBot="1" x14ac:dyDescent="0.3">
      <c r="B63" s="53"/>
      <c r="C63" s="76"/>
      <c r="D63" s="98"/>
      <c r="E63" s="176" t="s">
        <v>81</v>
      </c>
      <c r="F63" s="44">
        <v>0.03</v>
      </c>
      <c r="G63" s="43"/>
      <c r="H63" s="100">
        <v>0.03</v>
      </c>
      <c r="I63" s="146">
        <f t="shared" si="6"/>
        <v>0</v>
      </c>
      <c r="K63" s="147">
        <f>K36</f>
        <v>0.08</v>
      </c>
      <c r="L63" s="2"/>
      <c r="M63" s="141">
        <f t="shared" si="7"/>
        <v>2.3999999999999998E-3</v>
      </c>
      <c r="P63" s="147">
        <f>P36</f>
        <v>0.18</v>
      </c>
      <c r="Q63" s="2"/>
      <c r="R63" s="141">
        <f t="shared" si="8"/>
        <v>5.3999999999999994E-3</v>
      </c>
      <c r="S63" s="165"/>
      <c r="U63" s="168" t="s">
        <v>63</v>
      </c>
      <c r="V63" s="169" t="s">
        <v>64</v>
      </c>
      <c r="Y63" s="184"/>
    </row>
    <row r="64" spans="2:28" ht="15.75" thickBot="1" x14ac:dyDescent="0.3">
      <c r="B64" s="53"/>
      <c r="C64" s="76"/>
      <c r="D64" s="98"/>
      <c r="E64" s="118" t="s">
        <v>80</v>
      </c>
      <c r="F64" s="44">
        <v>0.04</v>
      </c>
      <c r="G64" s="33"/>
      <c r="H64" s="100">
        <v>0</v>
      </c>
      <c r="I64" s="146">
        <f>F64-H64</f>
        <v>0.04</v>
      </c>
      <c r="K64" s="147">
        <f>K35</f>
        <v>0.08</v>
      </c>
      <c r="L64" s="2"/>
      <c r="M64" s="141">
        <f>K64*F64</f>
        <v>3.2000000000000002E-3</v>
      </c>
      <c r="P64" s="147">
        <f>P35</f>
        <v>7.0000000000000007E-2</v>
      </c>
      <c r="Q64" s="2"/>
      <c r="R64" s="141">
        <f>P64*F64</f>
        <v>2.8000000000000004E-3</v>
      </c>
      <c r="S64" s="165"/>
      <c r="U64" s="168"/>
      <c r="V64" s="169"/>
      <c r="Y64" s="184"/>
    </row>
    <row r="65" spans="2:25" ht="15.75" thickBot="1" x14ac:dyDescent="0.3">
      <c r="B65" s="54"/>
      <c r="C65" s="77"/>
      <c r="D65" s="81"/>
      <c r="E65" s="26" t="s">
        <v>17</v>
      </c>
      <c r="F65" s="39">
        <v>0.04</v>
      </c>
      <c r="G65" s="38"/>
      <c r="H65" s="93">
        <v>0.03</v>
      </c>
      <c r="I65" s="146">
        <f t="shared" si="6"/>
        <v>1.0000000000000002E-2</v>
      </c>
      <c r="K65" s="147">
        <f>K37</f>
        <v>0.08</v>
      </c>
      <c r="L65" s="2"/>
      <c r="M65" s="141">
        <f t="shared" si="7"/>
        <v>3.2000000000000002E-3</v>
      </c>
      <c r="P65" s="147">
        <f>P37</f>
        <v>0.18</v>
      </c>
      <c r="Q65" s="2"/>
      <c r="R65" s="141">
        <f t="shared" si="8"/>
        <v>7.1999999999999998E-3</v>
      </c>
      <c r="S65" s="165"/>
      <c r="U65" s="168"/>
      <c r="V65" s="169"/>
      <c r="Y65" s="184"/>
    </row>
    <row r="66" spans="2:25" ht="15.75" thickBot="1" x14ac:dyDescent="0.3">
      <c r="B66" s="23" t="s">
        <v>3</v>
      </c>
      <c r="C66" s="86">
        <v>0.5</v>
      </c>
      <c r="D66" s="75">
        <f>F66+F67</f>
        <v>0.18</v>
      </c>
      <c r="E66" s="114" t="s">
        <v>50</v>
      </c>
      <c r="F66" s="45">
        <v>0.18</v>
      </c>
      <c r="G66" s="35"/>
      <c r="H66" s="91">
        <f>'Q2 16'!I46</f>
        <v>0.15</v>
      </c>
      <c r="I66" s="146">
        <f t="shared" si="6"/>
        <v>0.03</v>
      </c>
      <c r="K66" s="147">
        <f>K38</f>
        <v>3.5000000000000003E-2</v>
      </c>
      <c r="L66" s="2"/>
      <c r="M66" s="141">
        <f t="shared" si="7"/>
        <v>6.3E-3</v>
      </c>
      <c r="P66" s="132">
        <f>P11</f>
        <v>5.5E-2</v>
      </c>
      <c r="Q66" s="2"/>
      <c r="R66" s="141">
        <f t="shared" si="8"/>
        <v>9.8999999999999991E-3</v>
      </c>
      <c r="S66" s="165"/>
      <c r="U66" s="168" t="s">
        <v>65</v>
      </c>
      <c r="V66" s="169" t="s">
        <v>66</v>
      </c>
      <c r="Y66" s="184"/>
    </row>
    <row r="67" spans="2:25" ht="19.5" thickBot="1" x14ac:dyDescent="0.35">
      <c r="B67" s="54"/>
      <c r="C67" s="78"/>
      <c r="D67" s="98"/>
      <c r="E67" s="30" t="s">
        <v>84</v>
      </c>
      <c r="F67" s="44">
        <v>0</v>
      </c>
      <c r="G67" s="43"/>
      <c r="H67" s="91">
        <v>0</v>
      </c>
      <c r="I67" s="91">
        <f>F67-H67</f>
        <v>0</v>
      </c>
      <c r="K67" s="147">
        <v>0.03</v>
      </c>
      <c r="L67" s="2"/>
      <c r="M67" s="141">
        <f t="shared" si="7"/>
        <v>0</v>
      </c>
      <c r="P67" s="132">
        <v>2.5000000000000001E-2</v>
      </c>
      <c r="Q67" s="2"/>
      <c r="R67" s="141">
        <f t="shared" si="8"/>
        <v>0</v>
      </c>
      <c r="S67" s="165"/>
      <c r="U67" s="170"/>
      <c r="V67" s="175">
        <v>-6.7400000000000002E-2</v>
      </c>
      <c r="Y67" s="184"/>
    </row>
    <row r="68" spans="2:25" ht="15.75" thickBot="1" x14ac:dyDescent="0.3">
      <c r="B68" s="23" t="s">
        <v>10</v>
      </c>
      <c r="C68" s="144">
        <v>0.3</v>
      </c>
      <c r="D68" s="75">
        <f>SUM(F68:F75)</f>
        <v>0.19</v>
      </c>
      <c r="E68" s="153" t="s">
        <v>23</v>
      </c>
      <c r="F68" s="45">
        <v>0.05</v>
      </c>
      <c r="G68" s="35"/>
      <c r="H68" s="91">
        <f>'Q2 16'!I48</f>
        <v>0.05</v>
      </c>
      <c r="I68" s="96">
        <f t="shared" si="6"/>
        <v>0</v>
      </c>
      <c r="K68" s="147">
        <f>K45</f>
        <v>0.05</v>
      </c>
      <c r="L68" s="2"/>
      <c r="M68" s="141">
        <f t="shared" si="7"/>
        <v>2.5000000000000005E-3</v>
      </c>
      <c r="P68" s="132">
        <f>P23</f>
        <v>0.04</v>
      </c>
      <c r="Q68" s="2"/>
      <c r="R68" s="141">
        <f t="shared" si="8"/>
        <v>2E-3</v>
      </c>
      <c r="S68" s="165"/>
      <c r="Y68" s="184"/>
    </row>
    <row r="69" spans="2:25" ht="15.75" thickBot="1" x14ac:dyDescent="0.3">
      <c r="B69" s="53"/>
      <c r="C69" s="89"/>
      <c r="D69" s="154"/>
      <c r="E69" s="155" t="s">
        <v>77</v>
      </c>
      <c r="F69" s="122">
        <v>0.03</v>
      </c>
      <c r="G69" s="43"/>
      <c r="H69" s="92">
        <f>'Q2 16'!I49</f>
        <v>0</v>
      </c>
      <c r="I69" s="146">
        <f t="shared" si="6"/>
        <v>0.03</v>
      </c>
      <c r="K69" s="147">
        <f>K43</f>
        <v>0.1</v>
      </c>
      <c r="L69" s="2"/>
      <c r="M69" s="141">
        <f t="shared" si="7"/>
        <v>3.0000000000000001E-3</v>
      </c>
      <c r="P69" s="132">
        <f>P43</f>
        <v>0.1</v>
      </c>
      <c r="Q69" s="2"/>
      <c r="R69" s="141">
        <f t="shared" si="8"/>
        <v>3.0000000000000001E-3</v>
      </c>
      <c r="S69" s="165"/>
      <c r="Y69" s="184"/>
    </row>
    <row r="70" spans="2:25" ht="15.75" thickBot="1" x14ac:dyDescent="0.3">
      <c r="B70" s="53"/>
      <c r="C70" s="89"/>
      <c r="D70" s="98"/>
      <c r="E70" s="118" t="s">
        <v>39</v>
      </c>
      <c r="F70" s="44">
        <v>0</v>
      </c>
      <c r="G70" s="33"/>
      <c r="H70" s="100">
        <v>0</v>
      </c>
      <c r="I70" s="146">
        <f t="shared" si="6"/>
        <v>0</v>
      </c>
      <c r="K70" s="147">
        <f>K51</f>
        <v>0.05</v>
      </c>
      <c r="L70" s="2"/>
      <c r="M70" s="141">
        <f t="shared" si="7"/>
        <v>0</v>
      </c>
      <c r="P70" s="132">
        <f>P51</f>
        <v>0</v>
      </c>
      <c r="Q70" s="2"/>
      <c r="R70" s="141">
        <f t="shared" si="8"/>
        <v>0</v>
      </c>
      <c r="S70" s="165"/>
      <c r="Y70" s="185">
        <v>0.04</v>
      </c>
    </row>
    <row r="71" spans="2:25" ht="15.75" thickBot="1" x14ac:dyDescent="0.3">
      <c r="B71" s="53"/>
      <c r="C71" s="89"/>
      <c r="D71" s="182" t="s">
        <v>46</v>
      </c>
      <c r="E71" s="118" t="s">
        <v>78</v>
      </c>
      <c r="F71" s="44">
        <v>0</v>
      </c>
      <c r="G71" s="33"/>
      <c r="H71" s="100">
        <v>0</v>
      </c>
      <c r="I71" s="146">
        <f t="shared" si="6"/>
        <v>0</v>
      </c>
      <c r="K71" s="147">
        <f>K47</f>
        <v>0.08</v>
      </c>
      <c r="L71" s="2"/>
      <c r="M71" s="141">
        <f>M47</f>
        <v>0</v>
      </c>
      <c r="P71" s="147">
        <f>P47</f>
        <v>0.12</v>
      </c>
      <c r="Q71" s="2"/>
      <c r="R71" s="141">
        <f t="shared" si="8"/>
        <v>0</v>
      </c>
      <c r="S71" s="165"/>
      <c r="Y71" s="185">
        <v>0.03</v>
      </c>
    </row>
    <row r="72" spans="2:25" ht="15.75" thickBot="1" x14ac:dyDescent="0.3">
      <c r="B72" s="53"/>
      <c r="C72" s="89"/>
      <c r="D72" s="98"/>
      <c r="E72" s="118" t="s">
        <v>79</v>
      </c>
      <c r="F72" s="44">
        <v>0.04</v>
      </c>
      <c r="G72" s="33"/>
      <c r="H72" s="100">
        <v>0</v>
      </c>
      <c r="I72" s="146">
        <f t="shared" si="6"/>
        <v>0.04</v>
      </c>
      <c r="K72" s="147">
        <f>K49</f>
        <v>0.1</v>
      </c>
      <c r="L72" s="2"/>
      <c r="M72" s="141">
        <f t="shared" si="7"/>
        <v>4.0000000000000001E-3</v>
      </c>
      <c r="P72" s="147">
        <f>P49</f>
        <v>0.1</v>
      </c>
      <c r="Q72" s="2"/>
      <c r="R72" s="141">
        <f t="shared" si="8"/>
        <v>4.0000000000000001E-3</v>
      </c>
      <c r="S72" s="165"/>
      <c r="Y72" s="184"/>
    </row>
    <row r="73" spans="2:25" ht="15.75" thickBot="1" x14ac:dyDescent="0.3">
      <c r="B73" s="53"/>
      <c r="C73" s="89"/>
      <c r="D73" s="98"/>
      <c r="E73" s="118" t="s">
        <v>21</v>
      </c>
      <c r="F73" s="44">
        <v>0</v>
      </c>
      <c r="G73" s="43"/>
      <c r="H73" s="92">
        <v>0</v>
      </c>
      <c r="I73" s="146">
        <f>F73-H73</f>
        <v>0</v>
      </c>
      <c r="K73" s="147">
        <f>K44</f>
        <v>7.4999999999999997E-2</v>
      </c>
      <c r="L73" s="2"/>
      <c r="M73" s="141">
        <f>K73*F73</f>
        <v>0</v>
      </c>
      <c r="P73" s="147">
        <f>P44</f>
        <v>0.1</v>
      </c>
      <c r="Q73" s="2"/>
      <c r="R73" s="141">
        <f>P73*F73</f>
        <v>0</v>
      </c>
      <c r="S73" s="165"/>
      <c r="Y73" s="185">
        <v>0.05</v>
      </c>
    </row>
    <row r="74" spans="2:25" ht="15.75" thickBot="1" x14ac:dyDescent="0.3">
      <c r="B74" s="53"/>
      <c r="C74" s="89"/>
      <c r="D74" s="98"/>
      <c r="E74" s="30" t="s">
        <v>56</v>
      </c>
      <c r="F74" s="44">
        <v>0.04</v>
      </c>
      <c r="G74" s="43"/>
      <c r="H74" s="100">
        <v>0</v>
      </c>
      <c r="I74" s="146">
        <f t="shared" si="6"/>
        <v>0.04</v>
      </c>
      <c r="K74" s="147">
        <f>K48</f>
        <v>0.05</v>
      </c>
      <c r="L74" s="2"/>
      <c r="M74" s="141">
        <f t="shared" si="7"/>
        <v>2E-3</v>
      </c>
      <c r="P74" s="132">
        <f>P48</f>
        <v>0.05</v>
      </c>
      <c r="Q74" s="2"/>
      <c r="R74" s="141">
        <f t="shared" si="8"/>
        <v>2E-3</v>
      </c>
      <c r="S74" s="165"/>
      <c r="Y74" s="184"/>
    </row>
    <row r="75" spans="2:25" ht="15.75" thickBot="1" x14ac:dyDescent="0.3">
      <c r="B75" s="54"/>
      <c r="C75" s="88"/>
      <c r="D75" s="82"/>
      <c r="E75" s="145" t="s">
        <v>13</v>
      </c>
      <c r="F75" s="122">
        <v>0.03</v>
      </c>
      <c r="G75" s="38"/>
      <c r="H75" s="92">
        <f>'Q2 16'!I52</f>
        <v>0.05</v>
      </c>
      <c r="I75" s="96">
        <f t="shared" si="6"/>
        <v>-2.0000000000000004E-2</v>
      </c>
      <c r="K75" s="147">
        <f>K50</f>
        <v>0.05</v>
      </c>
      <c r="L75" s="2"/>
      <c r="M75" s="141">
        <f t="shared" si="7"/>
        <v>1.5E-3</v>
      </c>
      <c r="P75" s="132">
        <f>P50</f>
        <v>0.05</v>
      </c>
      <c r="Q75" s="2"/>
      <c r="R75" s="141">
        <f t="shared" si="8"/>
        <v>1.5E-3</v>
      </c>
      <c r="S75" s="165"/>
      <c r="Y75" s="184"/>
    </row>
    <row r="76" spans="2:25" ht="15.75" thickBot="1" x14ac:dyDescent="0.3">
      <c r="B76" s="23" t="s">
        <v>11</v>
      </c>
      <c r="C76" s="86">
        <v>1</v>
      </c>
      <c r="D76" s="87">
        <f>100%-D68-D66-D59</f>
        <v>7.0000000000000062E-2</v>
      </c>
      <c r="E76" s="7"/>
      <c r="F76" s="40"/>
      <c r="H76" s="75">
        <v>0.05</v>
      </c>
      <c r="I76" s="148">
        <f>D76-H76</f>
        <v>2.0000000000000059E-2</v>
      </c>
      <c r="K76" s="137">
        <f>K52</f>
        <v>0</v>
      </c>
      <c r="L76" s="32"/>
      <c r="M76" s="143">
        <f>K76*D76</f>
        <v>0</v>
      </c>
      <c r="P76" s="1"/>
      <c r="Q76" s="2"/>
      <c r="R76" s="3"/>
      <c r="S76" s="2"/>
      <c r="Y76" s="184"/>
    </row>
    <row r="77" spans="2:25" ht="15.75" thickBot="1" x14ac:dyDescent="0.3">
      <c r="G77" s="75">
        <v>0</v>
      </c>
      <c r="M77" s="131"/>
      <c r="P77" s="138">
        <f>P53</f>
        <v>0.05</v>
      </c>
      <c r="Q77" s="32"/>
      <c r="R77" s="143">
        <f>P77*G77</f>
        <v>0</v>
      </c>
      <c r="S77" s="165"/>
      <c r="Y77" s="186"/>
    </row>
    <row r="78" spans="2:25" x14ac:dyDescent="0.25">
      <c r="M78" s="131"/>
    </row>
    <row r="79" spans="2:25" x14ac:dyDescent="0.25">
      <c r="M79" s="131"/>
    </row>
    <row r="80" spans="2:25" x14ac:dyDescent="0.25">
      <c r="M80" s="131"/>
    </row>
    <row r="81" spans="13:13" x14ac:dyDescent="0.25">
      <c r="M81" s="131"/>
    </row>
    <row r="82" spans="13:13" x14ac:dyDescent="0.25">
      <c r="M82" s="131"/>
    </row>
    <row r="83" spans="13:13" x14ac:dyDescent="0.25">
      <c r="M83" s="131"/>
    </row>
    <row r="84" spans="13:13" x14ac:dyDescent="0.25">
      <c r="M84" s="131"/>
    </row>
    <row r="85" spans="13:13" x14ac:dyDescent="0.25">
      <c r="M85" s="131"/>
    </row>
    <row r="86" spans="13:13" x14ac:dyDescent="0.25">
      <c r="M86" s="13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8"/>
  <sheetViews>
    <sheetView workbookViewId="0">
      <selection activeCell="C3" sqref="B3:C3"/>
    </sheetView>
  </sheetViews>
  <sheetFormatPr defaultRowHeight="15" x14ac:dyDescent="0.25"/>
  <cols>
    <col min="3" max="3" width="12" customWidth="1"/>
    <col min="8" max="8" width="13.7109375" customWidth="1"/>
  </cols>
  <sheetData>
    <row r="2" spans="2:12" ht="15.75" thickBot="1" x14ac:dyDescent="0.3"/>
    <row r="3" spans="2:12" ht="19.5" thickBot="1" x14ac:dyDescent="0.35">
      <c r="B3" s="51" t="s">
        <v>30</v>
      </c>
      <c r="C3" s="52"/>
    </row>
    <row r="5" spans="2:12" ht="15.75" thickBot="1" x14ac:dyDescent="0.3"/>
    <row r="6" spans="2:12" ht="18.75" x14ac:dyDescent="0.3">
      <c r="B6" s="9" t="s">
        <v>0</v>
      </c>
      <c r="C6" s="10"/>
      <c r="D6" s="10"/>
      <c r="E6" s="11"/>
      <c r="F6" s="10"/>
      <c r="G6" s="10"/>
      <c r="H6" s="10"/>
      <c r="I6" s="10"/>
      <c r="J6" s="10"/>
      <c r="K6" s="10"/>
      <c r="L6" s="11"/>
    </row>
    <row r="7" spans="2:12" x14ac:dyDescent="0.25">
      <c r="B7" s="12"/>
      <c r="C7" s="13"/>
      <c r="D7" s="13"/>
      <c r="E7" s="14"/>
      <c r="F7" s="13"/>
      <c r="G7" s="13"/>
      <c r="H7" s="13"/>
      <c r="I7" s="13"/>
      <c r="J7" s="13"/>
      <c r="K7" s="13"/>
      <c r="L7" s="14"/>
    </row>
    <row r="8" spans="2:12" ht="15.75" thickBot="1" x14ac:dyDescent="0.3">
      <c r="B8" s="15" t="s">
        <v>1</v>
      </c>
      <c r="C8" s="16"/>
      <c r="D8" s="16"/>
      <c r="E8" s="17"/>
      <c r="F8" s="16" t="s">
        <v>27</v>
      </c>
      <c r="G8" s="16"/>
      <c r="H8" s="16" t="s">
        <v>4</v>
      </c>
      <c r="I8" s="16" t="s">
        <v>5</v>
      </c>
      <c r="J8" s="16"/>
      <c r="K8" s="16" t="s">
        <v>15</v>
      </c>
      <c r="L8" s="17"/>
    </row>
    <row r="9" spans="2:12" x14ac:dyDescent="0.25">
      <c r="B9" s="1"/>
      <c r="C9" s="2" t="s">
        <v>2</v>
      </c>
      <c r="D9" s="4">
        <v>0.2</v>
      </c>
      <c r="E9" s="3"/>
      <c r="F9" s="4">
        <f>I9+I10</f>
        <v>0.2</v>
      </c>
      <c r="G9" s="2"/>
      <c r="H9" s="4" t="s">
        <v>6</v>
      </c>
      <c r="I9" s="4">
        <v>0.15</v>
      </c>
      <c r="J9" s="2"/>
      <c r="K9" s="2"/>
      <c r="L9" s="3"/>
    </row>
    <row r="10" spans="2:12" x14ac:dyDescent="0.25">
      <c r="B10" s="1"/>
      <c r="C10" s="2"/>
      <c r="D10" s="4"/>
      <c r="E10" s="3"/>
      <c r="F10" s="2"/>
      <c r="G10" s="2"/>
      <c r="H10" s="4" t="s">
        <v>7</v>
      </c>
      <c r="I10" s="4">
        <v>0.05</v>
      </c>
      <c r="J10" s="2"/>
      <c r="K10" s="2"/>
      <c r="L10" s="3"/>
    </row>
    <row r="11" spans="2:12" x14ac:dyDescent="0.25">
      <c r="B11" s="1"/>
      <c r="C11" s="2" t="s">
        <v>3</v>
      </c>
      <c r="D11" s="2"/>
      <c r="E11" s="3"/>
      <c r="F11" s="4">
        <f>I11+I12+I13</f>
        <v>0.55000000000000004</v>
      </c>
      <c r="G11" s="2"/>
      <c r="H11" s="2" t="s">
        <v>8</v>
      </c>
      <c r="I11" s="4">
        <v>0.4</v>
      </c>
      <c r="J11" s="2"/>
      <c r="K11" s="2"/>
      <c r="L11" s="3"/>
    </row>
    <row r="12" spans="2:12" x14ac:dyDescent="0.25">
      <c r="B12" s="1"/>
      <c r="C12" s="2"/>
      <c r="D12" s="2"/>
      <c r="E12" s="3"/>
      <c r="F12" s="2"/>
      <c r="G12" s="2"/>
      <c r="H12" s="2" t="s">
        <v>9</v>
      </c>
      <c r="I12" s="4">
        <v>0.08</v>
      </c>
      <c r="J12" s="2"/>
      <c r="K12" s="2"/>
      <c r="L12" s="3"/>
    </row>
    <row r="13" spans="2:12" x14ac:dyDescent="0.25">
      <c r="B13" s="1"/>
      <c r="C13" s="2"/>
      <c r="D13" s="2"/>
      <c r="E13" s="3"/>
      <c r="F13" s="2"/>
      <c r="G13" s="2"/>
      <c r="H13" s="2" t="s">
        <v>20</v>
      </c>
      <c r="I13" s="4">
        <v>7.0000000000000007E-2</v>
      </c>
      <c r="J13" s="2"/>
      <c r="K13" s="2"/>
      <c r="L13" s="3"/>
    </row>
    <row r="14" spans="2:12" x14ac:dyDescent="0.25">
      <c r="B14" s="1"/>
      <c r="C14" s="2" t="s">
        <v>10</v>
      </c>
      <c r="D14" s="2"/>
      <c r="E14" s="3"/>
      <c r="F14" s="4">
        <f>SUM(I14:I17)</f>
        <v>0.1</v>
      </c>
      <c r="G14" s="2"/>
      <c r="H14" s="2" t="s">
        <v>19</v>
      </c>
      <c r="I14" s="4">
        <v>0</v>
      </c>
      <c r="J14" s="2"/>
      <c r="K14" s="2"/>
      <c r="L14" s="3"/>
    </row>
    <row r="15" spans="2:12" x14ac:dyDescent="0.25">
      <c r="B15" s="1"/>
      <c r="C15" s="2"/>
      <c r="D15" s="2"/>
      <c r="E15" s="3"/>
      <c r="F15" s="2"/>
      <c r="G15" s="2"/>
      <c r="H15" s="2" t="s">
        <v>18</v>
      </c>
      <c r="I15" s="4">
        <v>7.0000000000000007E-2</v>
      </c>
      <c r="J15" s="2"/>
      <c r="K15" s="2"/>
      <c r="L15" s="3"/>
    </row>
    <row r="16" spans="2:12" x14ac:dyDescent="0.25">
      <c r="B16" s="1"/>
      <c r="C16" s="2"/>
      <c r="D16" s="2"/>
      <c r="E16" s="3"/>
      <c r="F16" s="2"/>
      <c r="G16" s="2"/>
      <c r="H16" s="18" t="s">
        <v>23</v>
      </c>
      <c r="I16" s="4">
        <v>0.03</v>
      </c>
      <c r="J16" s="2"/>
      <c r="K16" s="2"/>
      <c r="L16" s="3"/>
    </row>
    <row r="17" spans="2:12" x14ac:dyDescent="0.25">
      <c r="B17" s="1"/>
      <c r="C17" s="2"/>
      <c r="D17" s="2"/>
      <c r="E17" s="3"/>
      <c r="F17" s="2"/>
      <c r="G17" s="2"/>
      <c r="H17" s="18" t="s">
        <v>24</v>
      </c>
      <c r="I17" s="4">
        <v>0</v>
      </c>
      <c r="J17" s="2"/>
      <c r="K17" s="2"/>
      <c r="L17" s="3"/>
    </row>
    <row r="18" spans="2:12" x14ac:dyDescent="0.25">
      <c r="B18" s="1"/>
      <c r="C18" s="2" t="s">
        <v>11</v>
      </c>
      <c r="D18" s="2"/>
      <c r="E18" s="3"/>
      <c r="F18" s="5">
        <f>100%-F14-F11-F9</f>
        <v>0.14999999999999997</v>
      </c>
      <c r="G18" s="2"/>
      <c r="H18" s="2"/>
      <c r="I18" s="2"/>
      <c r="J18" s="2"/>
      <c r="K18" s="2"/>
      <c r="L18" s="3"/>
    </row>
    <row r="19" spans="2:12" x14ac:dyDescent="0.25">
      <c r="B19" s="1"/>
      <c r="C19" s="2"/>
      <c r="D19" s="2"/>
      <c r="E19" s="3"/>
      <c r="F19" s="2"/>
      <c r="G19" s="2"/>
      <c r="H19" s="2"/>
      <c r="I19" s="2"/>
      <c r="J19" s="2"/>
      <c r="K19" s="2" t="s">
        <v>28</v>
      </c>
      <c r="L19" s="3"/>
    </row>
    <row r="20" spans="2:12" ht="15.75" thickBot="1" x14ac:dyDescent="0.3">
      <c r="B20" s="6"/>
      <c r="C20" s="7"/>
      <c r="D20" s="7"/>
      <c r="E20" s="8"/>
      <c r="F20" s="7"/>
      <c r="G20" s="7"/>
      <c r="H20" s="7"/>
      <c r="I20" s="7"/>
      <c r="J20" s="7"/>
      <c r="K20" s="7"/>
      <c r="L20" s="8"/>
    </row>
    <row r="23" spans="2:12" ht="15.75" thickBot="1" x14ac:dyDescent="0.3"/>
    <row r="24" spans="2:12" ht="18.75" x14ac:dyDescent="0.3">
      <c r="B24" s="9" t="s">
        <v>12</v>
      </c>
      <c r="C24" s="10"/>
      <c r="D24" s="10"/>
      <c r="E24" s="11"/>
      <c r="F24" s="10"/>
      <c r="G24" s="10"/>
      <c r="H24" s="10"/>
      <c r="I24" s="10"/>
      <c r="J24" s="10"/>
      <c r="K24" s="10"/>
      <c r="L24" s="11"/>
    </row>
    <row r="25" spans="2:12" x14ac:dyDescent="0.25">
      <c r="B25" s="12"/>
      <c r="C25" s="13"/>
      <c r="D25" s="13"/>
      <c r="E25" s="14"/>
      <c r="F25" s="13"/>
      <c r="G25" s="13"/>
      <c r="H25" s="13"/>
      <c r="I25" s="13"/>
      <c r="J25" s="13"/>
      <c r="K25" s="13"/>
      <c r="L25" s="14"/>
    </row>
    <row r="26" spans="2:12" ht="15.75" thickBot="1" x14ac:dyDescent="0.3">
      <c r="B26" s="15" t="s">
        <v>1</v>
      </c>
      <c r="C26" s="16"/>
      <c r="D26" s="16"/>
      <c r="E26" s="17"/>
      <c r="F26" s="16" t="s">
        <v>27</v>
      </c>
      <c r="G26" s="16"/>
      <c r="H26" s="16" t="s">
        <v>4</v>
      </c>
      <c r="I26" s="16" t="s">
        <v>5</v>
      </c>
      <c r="J26" s="16"/>
      <c r="K26" s="16" t="s">
        <v>15</v>
      </c>
      <c r="L26" s="17"/>
    </row>
    <row r="27" spans="2:12" x14ac:dyDescent="0.25">
      <c r="B27" s="1"/>
      <c r="C27" s="2" t="s">
        <v>2</v>
      </c>
      <c r="D27" s="4">
        <v>0.3</v>
      </c>
      <c r="E27" s="3"/>
      <c r="F27" s="4">
        <f>I27+I29+I28</f>
        <v>0.30000000000000004</v>
      </c>
      <c r="G27" s="2"/>
      <c r="H27" s="4" t="s">
        <v>6</v>
      </c>
      <c r="I27" s="4">
        <v>0.22</v>
      </c>
      <c r="J27" s="2"/>
      <c r="K27" s="2"/>
      <c r="L27" s="3"/>
    </row>
    <row r="28" spans="2:12" x14ac:dyDescent="0.25">
      <c r="B28" s="1"/>
      <c r="C28" s="2"/>
      <c r="D28" s="4"/>
      <c r="E28" s="3"/>
      <c r="F28" s="4"/>
      <c r="G28" s="2"/>
      <c r="H28" s="4" t="s">
        <v>22</v>
      </c>
      <c r="I28" s="4">
        <v>0.03</v>
      </c>
      <c r="J28" s="2"/>
      <c r="K28" s="2"/>
      <c r="L28" s="3"/>
    </row>
    <row r="29" spans="2:12" x14ac:dyDescent="0.25">
      <c r="B29" s="1"/>
      <c r="C29" s="2"/>
      <c r="D29" s="4"/>
      <c r="E29" s="3"/>
      <c r="F29" s="2"/>
      <c r="G29" s="2"/>
      <c r="H29" s="4" t="s">
        <v>7</v>
      </c>
      <c r="I29" s="4">
        <v>0.05</v>
      </c>
      <c r="J29" s="2"/>
      <c r="K29" s="2"/>
      <c r="L29" s="3"/>
    </row>
    <row r="30" spans="2:12" x14ac:dyDescent="0.25">
      <c r="B30" s="1"/>
      <c r="C30" s="2" t="s">
        <v>3</v>
      </c>
      <c r="D30" s="2"/>
      <c r="E30" s="3"/>
      <c r="F30" s="4">
        <f>I30+I31+I32</f>
        <v>0.42</v>
      </c>
      <c r="G30" s="2"/>
      <c r="H30" s="2" t="s">
        <v>8</v>
      </c>
      <c r="I30" s="4">
        <v>0.3</v>
      </c>
      <c r="J30" s="2"/>
      <c r="K30" s="2"/>
      <c r="L30" s="3"/>
    </row>
    <row r="31" spans="2:12" x14ac:dyDescent="0.25">
      <c r="B31" s="1"/>
      <c r="C31" s="2"/>
      <c r="D31" s="2"/>
      <c r="E31" s="3"/>
      <c r="F31" s="2"/>
      <c r="G31" s="2"/>
      <c r="H31" s="2" t="s">
        <v>9</v>
      </c>
      <c r="I31" s="4">
        <v>7.0000000000000007E-2</v>
      </c>
      <c r="J31" s="2"/>
      <c r="K31" s="2"/>
      <c r="L31" s="3"/>
    </row>
    <row r="32" spans="2:12" x14ac:dyDescent="0.25">
      <c r="B32" s="1"/>
      <c r="C32" s="2"/>
      <c r="D32" s="2"/>
      <c r="E32" s="3"/>
      <c r="F32" s="2"/>
      <c r="G32" s="2"/>
      <c r="H32" s="2" t="s">
        <v>20</v>
      </c>
      <c r="I32" s="4">
        <v>0.05</v>
      </c>
      <c r="J32" s="2"/>
      <c r="K32" s="2"/>
      <c r="L32" s="3"/>
    </row>
    <row r="33" spans="2:12" x14ac:dyDescent="0.25">
      <c r="B33" s="1"/>
      <c r="C33" s="2" t="s">
        <v>10</v>
      </c>
      <c r="D33" s="2"/>
      <c r="E33" s="3"/>
      <c r="F33" s="4">
        <f>SUM(I33:I37)</f>
        <v>0.12</v>
      </c>
      <c r="G33" s="2"/>
      <c r="H33" s="2" t="s">
        <v>21</v>
      </c>
      <c r="I33" s="4">
        <v>0</v>
      </c>
      <c r="J33" s="2"/>
      <c r="K33" s="2"/>
      <c r="L33" s="3"/>
    </row>
    <row r="34" spans="2:12" x14ac:dyDescent="0.25">
      <c r="B34" s="1"/>
      <c r="C34" s="2"/>
      <c r="D34" s="2"/>
      <c r="E34" s="3"/>
      <c r="F34" s="2"/>
      <c r="G34" s="2"/>
      <c r="H34" s="2" t="s">
        <v>18</v>
      </c>
      <c r="I34" s="4">
        <v>0.03</v>
      </c>
      <c r="J34" s="2"/>
      <c r="K34" s="2"/>
      <c r="L34" s="3"/>
    </row>
    <row r="35" spans="2:12" x14ac:dyDescent="0.25">
      <c r="B35" s="1"/>
      <c r="C35" s="2"/>
      <c r="D35" s="2"/>
      <c r="E35" s="3"/>
      <c r="F35" s="2"/>
      <c r="G35" s="2"/>
      <c r="H35" s="18" t="s">
        <v>23</v>
      </c>
      <c r="I35" s="4">
        <v>0.05</v>
      </c>
      <c r="J35" s="2"/>
      <c r="K35" s="2"/>
      <c r="L35" s="3"/>
    </row>
    <row r="36" spans="2:12" x14ac:dyDescent="0.25">
      <c r="B36" s="1"/>
      <c r="C36" s="2"/>
      <c r="D36" s="2"/>
      <c r="E36" s="3"/>
      <c r="F36" s="2"/>
      <c r="G36" s="2"/>
      <c r="H36" s="18" t="s">
        <v>24</v>
      </c>
      <c r="I36" s="4">
        <v>0</v>
      </c>
      <c r="J36" s="2"/>
      <c r="K36" s="2"/>
      <c r="L36" s="3"/>
    </row>
    <row r="37" spans="2:12" x14ac:dyDescent="0.25">
      <c r="B37" s="1"/>
      <c r="C37" s="2"/>
      <c r="D37" s="2"/>
      <c r="E37" s="3"/>
      <c r="F37" s="2"/>
      <c r="G37" s="2"/>
      <c r="H37" s="2" t="s">
        <v>13</v>
      </c>
      <c r="I37" s="4">
        <v>0.04</v>
      </c>
      <c r="J37" s="2"/>
      <c r="K37" s="2"/>
      <c r="L37" s="3"/>
    </row>
    <row r="38" spans="2:12" x14ac:dyDescent="0.25">
      <c r="B38" s="1"/>
      <c r="C38" s="2" t="s">
        <v>11</v>
      </c>
      <c r="D38" s="2"/>
      <c r="E38" s="3"/>
      <c r="F38" s="5">
        <f>100%-F33-F30-F27</f>
        <v>0.15999999999999998</v>
      </c>
      <c r="G38" s="2"/>
      <c r="H38" s="2"/>
      <c r="I38" s="2"/>
      <c r="J38" s="2"/>
      <c r="K38" s="2" t="s">
        <v>29</v>
      </c>
      <c r="L38" s="3"/>
    </row>
    <row r="39" spans="2:12" ht="15.75" thickBot="1" x14ac:dyDescent="0.3">
      <c r="B39" s="6"/>
      <c r="C39" s="7"/>
      <c r="D39" s="7"/>
      <c r="E39" s="8"/>
      <c r="F39" s="7"/>
      <c r="G39" s="7"/>
      <c r="H39" s="7"/>
      <c r="I39" s="7"/>
      <c r="J39" s="7"/>
      <c r="K39" s="7"/>
      <c r="L39" s="8"/>
    </row>
    <row r="42" spans="2:12" ht="15.75" thickBot="1" x14ac:dyDescent="0.3"/>
    <row r="43" spans="2:12" ht="18.75" x14ac:dyDescent="0.3">
      <c r="B43" s="9" t="s">
        <v>14</v>
      </c>
      <c r="C43" s="10"/>
      <c r="D43" s="10"/>
      <c r="E43" s="11"/>
      <c r="F43" s="10"/>
      <c r="G43" s="10"/>
      <c r="H43" s="10"/>
      <c r="I43" s="10"/>
      <c r="J43" s="10"/>
      <c r="K43" s="10"/>
      <c r="L43" s="11"/>
    </row>
    <row r="44" spans="2:12" x14ac:dyDescent="0.25">
      <c r="B44" s="12"/>
      <c r="C44" s="13"/>
      <c r="D44" s="13"/>
      <c r="E44" s="14"/>
      <c r="F44" s="13"/>
      <c r="G44" s="13"/>
      <c r="H44" s="13"/>
      <c r="I44" s="13"/>
      <c r="J44" s="13"/>
      <c r="K44" s="13"/>
      <c r="L44" s="14"/>
    </row>
    <row r="45" spans="2:12" ht="15.75" thickBot="1" x14ac:dyDescent="0.3">
      <c r="B45" s="15" t="s">
        <v>1</v>
      </c>
      <c r="C45" s="16"/>
      <c r="D45" s="16"/>
      <c r="E45" s="17"/>
      <c r="F45" s="16" t="s">
        <v>27</v>
      </c>
      <c r="G45" s="16"/>
      <c r="H45" s="16" t="s">
        <v>4</v>
      </c>
      <c r="I45" s="16" t="s">
        <v>5</v>
      </c>
      <c r="J45" s="16"/>
      <c r="K45" s="16" t="s">
        <v>15</v>
      </c>
      <c r="L45" s="17"/>
    </row>
    <row r="46" spans="2:12" x14ac:dyDescent="0.25">
      <c r="B46" s="1"/>
      <c r="C46" s="2" t="s">
        <v>2</v>
      </c>
      <c r="D46" s="4">
        <v>0.7</v>
      </c>
      <c r="E46" s="3"/>
      <c r="F46" s="4">
        <f>I46+I47+I49+I50+I48</f>
        <v>0.57000000000000006</v>
      </c>
      <c r="G46" s="2"/>
      <c r="H46" s="4" t="s">
        <v>6</v>
      </c>
      <c r="I46" s="4">
        <v>0.42</v>
      </c>
      <c r="J46" s="2"/>
      <c r="K46" s="2"/>
      <c r="L46" s="3"/>
    </row>
    <row r="47" spans="2:12" x14ac:dyDescent="0.25">
      <c r="B47" s="1"/>
      <c r="C47" s="2"/>
      <c r="D47" s="4"/>
      <c r="E47" s="3"/>
      <c r="F47" s="2"/>
      <c r="G47" s="2"/>
      <c r="H47" s="4" t="s">
        <v>7</v>
      </c>
      <c r="I47" s="4">
        <v>0.06</v>
      </c>
      <c r="J47" s="2"/>
      <c r="K47" s="2"/>
      <c r="L47" s="3"/>
    </row>
    <row r="48" spans="2:12" x14ac:dyDescent="0.25">
      <c r="B48" s="1"/>
      <c r="C48" s="2"/>
      <c r="D48" s="4"/>
      <c r="E48" s="3"/>
      <c r="F48" s="2"/>
      <c r="G48" s="2"/>
      <c r="H48" s="4" t="s">
        <v>22</v>
      </c>
      <c r="I48" s="4">
        <v>0.03</v>
      </c>
      <c r="J48" s="2"/>
      <c r="K48" s="2"/>
      <c r="L48" s="3"/>
    </row>
    <row r="49" spans="2:12" x14ac:dyDescent="0.25">
      <c r="B49" s="1"/>
      <c r="C49" s="2"/>
      <c r="D49" s="4"/>
      <c r="E49" s="3"/>
      <c r="F49" s="2"/>
      <c r="G49" s="2"/>
      <c r="H49" s="4" t="s">
        <v>16</v>
      </c>
      <c r="I49" s="4">
        <v>0.03</v>
      </c>
      <c r="J49" s="2"/>
      <c r="K49" s="2"/>
      <c r="L49" s="3"/>
    </row>
    <row r="50" spans="2:12" x14ac:dyDescent="0.25">
      <c r="B50" s="1"/>
      <c r="C50" s="2"/>
      <c r="D50" s="4"/>
      <c r="E50" s="3"/>
      <c r="F50" s="2"/>
      <c r="G50" s="2"/>
      <c r="H50" s="4" t="s">
        <v>17</v>
      </c>
      <c r="I50" s="4">
        <v>0.03</v>
      </c>
      <c r="J50" s="2"/>
      <c r="K50" s="2"/>
      <c r="L50" s="3"/>
    </row>
    <row r="51" spans="2:12" x14ac:dyDescent="0.25">
      <c r="B51" s="1"/>
      <c r="C51" s="2" t="s">
        <v>3</v>
      </c>
      <c r="D51" s="2"/>
      <c r="E51" s="3"/>
      <c r="F51" s="4">
        <f>I51+I52</f>
        <v>0.22999999999999998</v>
      </c>
      <c r="G51" s="2"/>
      <c r="H51" s="2" t="s">
        <v>8</v>
      </c>
      <c r="I51" s="4">
        <v>0.18</v>
      </c>
      <c r="J51" s="2"/>
      <c r="K51" s="2"/>
      <c r="L51" s="3"/>
    </row>
    <row r="52" spans="2:12" x14ac:dyDescent="0.25">
      <c r="B52" s="1"/>
      <c r="C52" s="2"/>
      <c r="D52" s="2"/>
      <c r="E52" s="3"/>
      <c r="F52" s="2"/>
      <c r="G52" s="2"/>
      <c r="H52" s="2" t="s">
        <v>9</v>
      </c>
      <c r="I52" s="4">
        <v>0.05</v>
      </c>
      <c r="J52" s="2"/>
      <c r="K52" s="2"/>
      <c r="L52" s="3"/>
    </row>
    <row r="53" spans="2:12" x14ac:dyDescent="0.25">
      <c r="B53" s="1"/>
      <c r="C53" s="2" t="s">
        <v>10</v>
      </c>
      <c r="D53" s="2"/>
      <c r="E53" s="3"/>
      <c r="F53" s="4">
        <f>SUM(I53:I56)</f>
        <v>0.15000000000000002</v>
      </c>
      <c r="G53" s="2"/>
      <c r="H53" s="18" t="s">
        <v>23</v>
      </c>
      <c r="I53" s="4">
        <v>0.06</v>
      </c>
      <c r="J53" s="2"/>
      <c r="K53" s="2"/>
      <c r="L53" s="3"/>
    </row>
    <row r="54" spans="2:12" x14ac:dyDescent="0.25">
      <c r="B54" s="1"/>
      <c r="C54" s="2"/>
      <c r="D54" s="2"/>
      <c r="E54" s="3"/>
      <c r="F54" s="2"/>
      <c r="G54" s="2"/>
      <c r="H54" s="2" t="s">
        <v>18</v>
      </c>
      <c r="I54" s="4">
        <v>0.04</v>
      </c>
      <c r="J54" s="2"/>
      <c r="K54" s="2" t="s">
        <v>29</v>
      </c>
      <c r="L54" s="3"/>
    </row>
    <row r="55" spans="2:12" x14ac:dyDescent="0.25">
      <c r="B55" s="1"/>
      <c r="C55" s="2"/>
      <c r="D55" s="2"/>
      <c r="E55" s="3"/>
      <c r="F55" s="2"/>
      <c r="G55" s="2"/>
      <c r="H55" s="18" t="s">
        <v>24</v>
      </c>
      <c r="I55" s="4">
        <v>0</v>
      </c>
      <c r="J55" s="2"/>
      <c r="K55" s="2"/>
      <c r="L55" s="3"/>
    </row>
    <row r="56" spans="2:12" x14ac:dyDescent="0.25">
      <c r="B56" s="1"/>
      <c r="C56" s="2"/>
      <c r="D56" s="2"/>
      <c r="E56" s="3"/>
      <c r="F56" s="2"/>
      <c r="G56" s="2"/>
      <c r="H56" s="2" t="s">
        <v>13</v>
      </c>
      <c r="I56" s="4">
        <v>0.05</v>
      </c>
      <c r="J56" s="2"/>
      <c r="K56" s="2"/>
      <c r="L56" s="3"/>
    </row>
    <row r="57" spans="2:12" x14ac:dyDescent="0.25">
      <c r="B57" s="1"/>
      <c r="C57" s="2" t="s">
        <v>11</v>
      </c>
      <c r="D57" s="2"/>
      <c r="E57" s="3"/>
      <c r="F57" s="5">
        <f>100%-F53-F51-F46</f>
        <v>4.9999999999999933E-2</v>
      </c>
      <c r="G57" s="2"/>
      <c r="H57" s="2"/>
      <c r="I57" s="2"/>
      <c r="J57" s="2"/>
      <c r="K57" s="2"/>
      <c r="L57" s="3"/>
    </row>
    <row r="58" spans="2:12" ht="15.75" thickBot="1" x14ac:dyDescent="0.3">
      <c r="B58" s="6"/>
      <c r="C58" s="7"/>
      <c r="D58" s="7"/>
      <c r="E58" s="8"/>
      <c r="F58" s="7"/>
      <c r="G58" s="7"/>
      <c r="H58" s="7"/>
      <c r="I58" s="7"/>
      <c r="J58" s="7"/>
      <c r="K58" s="7"/>
      <c r="L58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1"/>
  <sheetViews>
    <sheetView topLeftCell="A25" workbookViewId="0">
      <selection activeCell="E39" sqref="E39"/>
    </sheetView>
  </sheetViews>
  <sheetFormatPr defaultRowHeight="15" x14ac:dyDescent="0.25"/>
  <sheetData>
    <row r="1" spans="2:19" ht="23.25" x14ac:dyDescent="0.35">
      <c r="Q1" s="139"/>
      <c r="R1" s="140" t="s">
        <v>42</v>
      </c>
      <c r="S1" s="140"/>
    </row>
    <row r="2" spans="2:19" ht="24" thickBot="1" x14ac:dyDescent="0.4">
      <c r="M2" s="139" t="s">
        <v>41</v>
      </c>
      <c r="Q2" s="139"/>
      <c r="R2" s="140" t="s">
        <v>43</v>
      </c>
      <c r="S2" s="140"/>
    </row>
    <row r="3" spans="2:19" ht="24" thickBot="1" x14ac:dyDescent="0.4">
      <c r="B3" s="51" t="s">
        <v>35</v>
      </c>
      <c r="C3" s="52"/>
      <c r="Q3" s="139"/>
      <c r="R3" s="140" t="s">
        <v>57</v>
      </c>
      <c r="S3" s="140"/>
    </row>
    <row r="4" spans="2:19" ht="19.5" thickBot="1" x14ac:dyDescent="0.35">
      <c r="L4" s="9" t="s">
        <v>40</v>
      </c>
      <c r="M4" s="133"/>
      <c r="N4" s="134">
        <f>SUM(N8:N19)</f>
        <v>2.9600000000000005E-2</v>
      </c>
      <c r="Q4" s="9" t="s">
        <v>45</v>
      </c>
      <c r="R4" s="133"/>
      <c r="S4" s="134">
        <f>SUM(S8:S19)</f>
        <v>5.9649999999999995E-2</v>
      </c>
    </row>
    <row r="5" spans="2:19" ht="19.5" thickBot="1" x14ac:dyDescent="0.35">
      <c r="B5" s="63" t="s">
        <v>0</v>
      </c>
      <c r="C5" s="64"/>
      <c r="D5" s="64"/>
      <c r="E5" s="64"/>
      <c r="F5" s="64"/>
      <c r="G5" s="65"/>
      <c r="H5" s="33"/>
      <c r="I5" s="33"/>
      <c r="J5" s="33"/>
      <c r="L5" s="156"/>
      <c r="M5" s="157"/>
      <c r="N5" s="158"/>
      <c r="Q5" s="156"/>
      <c r="R5" s="157"/>
      <c r="S5" s="158"/>
    </row>
    <row r="6" spans="2:19" ht="15.75" thickBot="1" x14ac:dyDescent="0.3">
      <c r="B6" s="66"/>
      <c r="C6" s="67"/>
      <c r="D6" s="67"/>
      <c r="E6" s="67"/>
      <c r="F6" s="67"/>
      <c r="G6" s="68"/>
      <c r="H6" s="106" t="s">
        <v>31</v>
      </c>
      <c r="I6" s="106" t="s">
        <v>37</v>
      </c>
      <c r="J6" s="107" t="s">
        <v>32</v>
      </c>
      <c r="L6" s="1"/>
      <c r="M6" s="2"/>
      <c r="N6" s="3"/>
      <c r="Q6" s="1"/>
      <c r="R6" s="2"/>
      <c r="S6" s="3"/>
    </row>
    <row r="7" spans="2:19" ht="15.75" thickBot="1" x14ac:dyDescent="0.3">
      <c r="B7" s="48" t="s">
        <v>1</v>
      </c>
      <c r="C7" s="49"/>
      <c r="D7" s="19" t="s">
        <v>34</v>
      </c>
      <c r="E7" s="19" t="s">
        <v>4</v>
      </c>
      <c r="F7" s="50" t="s">
        <v>5</v>
      </c>
      <c r="G7" s="50" t="s">
        <v>15</v>
      </c>
      <c r="H7" s="33"/>
      <c r="I7" s="33"/>
      <c r="J7" s="33"/>
      <c r="L7" s="1"/>
      <c r="M7" s="2"/>
      <c r="N7" s="3"/>
      <c r="Q7" s="1"/>
      <c r="R7" s="2"/>
      <c r="S7" s="3"/>
    </row>
    <row r="8" spans="2:19" ht="15.75" thickBot="1" x14ac:dyDescent="0.3">
      <c r="B8" s="80" t="s">
        <v>2</v>
      </c>
      <c r="C8" s="85">
        <v>0.2</v>
      </c>
      <c r="D8" s="75">
        <f>F8+F9</f>
        <v>0.16</v>
      </c>
      <c r="E8" s="112" t="s">
        <v>6</v>
      </c>
      <c r="F8" s="34">
        <v>0.11</v>
      </c>
      <c r="G8" s="35"/>
      <c r="H8" s="91">
        <f>'[1]Q2 16'!I7</f>
        <v>0.13</v>
      </c>
      <c r="I8" s="123">
        <f>F8</f>
        <v>0.11</v>
      </c>
      <c r="J8" s="96">
        <f>I8-H8</f>
        <v>-2.0000000000000004E-2</v>
      </c>
      <c r="L8" s="132">
        <v>0.05</v>
      </c>
      <c r="M8" s="2"/>
      <c r="N8" s="141">
        <f>L8*F8</f>
        <v>5.5000000000000005E-3</v>
      </c>
      <c r="Q8" s="132">
        <v>0.15</v>
      </c>
      <c r="R8" s="2"/>
      <c r="S8" s="141">
        <f>Q8*F8</f>
        <v>1.6500000000000001E-2</v>
      </c>
    </row>
    <row r="9" spans="2:19" ht="15.75" thickBot="1" x14ac:dyDescent="0.3">
      <c r="B9" s="81"/>
      <c r="C9" s="77"/>
      <c r="D9" s="88"/>
      <c r="E9" s="113" t="s">
        <v>7</v>
      </c>
      <c r="F9" s="39">
        <v>0.05</v>
      </c>
      <c r="G9" s="38"/>
      <c r="H9" s="91">
        <f>'[1]Q2 16'!I8</f>
        <v>0.05</v>
      </c>
      <c r="I9" s="123">
        <f>F9</f>
        <v>0.05</v>
      </c>
      <c r="J9" s="96">
        <f t="shared" ref="J9:J18" si="0">I9-H9</f>
        <v>0</v>
      </c>
      <c r="L9" s="132">
        <v>0.03</v>
      </c>
      <c r="M9" s="2"/>
      <c r="N9" s="141">
        <f t="shared" ref="N9:N17" si="1">L9*F9</f>
        <v>1.5E-3</v>
      </c>
      <c r="Q9" s="132">
        <v>0.1</v>
      </c>
      <c r="R9" s="2"/>
      <c r="S9" s="141">
        <f t="shared" ref="S9:S17" si="2">Q9*F9</f>
        <v>5.000000000000001E-3</v>
      </c>
    </row>
    <row r="10" spans="2:19" ht="15.75" thickBot="1" x14ac:dyDescent="0.3">
      <c r="B10" s="80" t="s">
        <v>3</v>
      </c>
      <c r="C10" s="86">
        <v>1</v>
      </c>
      <c r="D10" s="75">
        <f>SUM(F10:F13)</f>
        <v>0.51</v>
      </c>
      <c r="E10" s="114" t="s">
        <v>8</v>
      </c>
      <c r="F10" s="34">
        <v>0.37</v>
      </c>
      <c r="G10" s="35"/>
      <c r="H10" s="91">
        <f>'[1]Q2 16'!I9</f>
        <v>0.37</v>
      </c>
      <c r="I10" s="123">
        <f t="shared" ref="I10:I17" si="3">F10</f>
        <v>0.37</v>
      </c>
      <c r="J10" s="96">
        <f t="shared" si="0"/>
        <v>0</v>
      </c>
      <c r="L10" s="132">
        <v>0.03</v>
      </c>
      <c r="M10" s="2"/>
      <c r="N10" s="141">
        <f t="shared" si="1"/>
        <v>1.1099999999999999E-2</v>
      </c>
      <c r="Q10" s="132">
        <v>5.5E-2</v>
      </c>
      <c r="R10" s="2"/>
      <c r="S10" s="141">
        <f t="shared" si="2"/>
        <v>2.035E-2</v>
      </c>
    </row>
    <row r="11" spans="2:19" ht="15.75" thickBot="1" x14ac:dyDescent="0.3">
      <c r="B11" s="82"/>
      <c r="C11" s="79"/>
      <c r="D11" s="89"/>
      <c r="E11" s="115" t="s">
        <v>36</v>
      </c>
      <c r="F11" s="44">
        <v>0</v>
      </c>
      <c r="G11" s="43"/>
      <c r="H11" s="91">
        <f>'[1]Q2 16'!I10</f>
        <v>0.08</v>
      </c>
      <c r="I11" s="123">
        <f t="shared" si="3"/>
        <v>0</v>
      </c>
      <c r="J11" s="96">
        <f t="shared" si="0"/>
        <v>-0.08</v>
      </c>
      <c r="L11" s="1"/>
      <c r="M11" s="2"/>
      <c r="N11" s="141">
        <f t="shared" si="1"/>
        <v>0</v>
      </c>
      <c r="Q11" s="1"/>
      <c r="R11" s="2"/>
      <c r="S11" s="141">
        <f t="shared" si="2"/>
        <v>0</v>
      </c>
    </row>
    <row r="12" spans="2:19" ht="15.75" thickBot="1" x14ac:dyDescent="0.3">
      <c r="B12" s="82"/>
      <c r="C12" s="79"/>
      <c r="D12" s="89"/>
      <c r="E12" s="129" t="s">
        <v>38</v>
      </c>
      <c r="F12" s="130">
        <v>0.05</v>
      </c>
      <c r="G12" s="43"/>
      <c r="H12" s="91">
        <v>0</v>
      </c>
      <c r="I12" s="123">
        <f t="shared" si="3"/>
        <v>0.05</v>
      </c>
      <c r="J12" s="91">
        <f t="shared" si="0"/>
        <v>0.05</v>
      </c>
      <c r="L12" s="132">
        <v>0.04</v>
      </c>
      <c r="M12" s="2"/>
      <c r="N12" s="141">
        <f t="shared" si="1"/>
        <v>2E-3</v>
      </c>
      <c r="Q12" s="132">
        <v>0.02</v>
      </c>
      <c r="R12" s="2"/>
      <c r="S12" s="141">
        <f t="shared" si="2"/>
        <v>1E-3</v>
      </c>
    </row>
    <row r="13" spans="2:19" ht="15.75" thickBot="1" x14ac:dyDescent="0.3">
      <c r="B13" s="81"/>
      <c r="C13" s="78"/>
      <c r="D13" s="88"/>
      <c r="E13" s="116" t="s">
        <v>20</v>
      </c>
      <c r="F13" s="37">
        <v>0.09</v>
      </c>
      <c r="G13" s="38"/>
      <c r="H13" s="91">
        <f>'[1]Q2 16'!I11</f>
        <v>0.1</v>
      </c>
      <c r="I13" s="123">
        <f t="shared" si="3"/>
        <v>0.09</v>
      </c>
      <c r="J13" s="96">
        <f t="shared" si="0"/>
        <v>-1.0000000000000009E-2</v>
      </c>
      <c r="L13" s="132">
        <v>0.03</v>
      </c>
      <c r="M13" s="2"/>
      <c r="N13" s="141">
        <f t="shared" si="1"/>
        <v>2.6999999999999997E-3</v>
      </c>
      <c r="Q13" s="132">
        <v>0.1</v>
      </c>
      <c r="R13" s="2"/>
      <c r="S13" s="141">
        <f t="shared" si="2"/>
        <v>8.9999999999999993E-3</v>
      </c>
    </row>
    <row r="14" spans="2:19" ht="15.75" thickBot="1" x14ac:dyDescent="0.3">
      <c r="B14" s="80" t="s">
        <v>10</v>
      </c>
      <c r="C14" s="86">
        <v>0.15</v>
      </c>
      <c r="D14" s="75">
        <f>SUM(F14:F17)</f>
        <v>0.13</v>
      </c>
      <c r="E14" s="117" t="s">
        <v>33</v>
      </c>
      <c r="F14" s="45">
        <v>0</v>
      </c>
      <c r="G14" s="35"/>
      <c r="H14" s="91">
        <f>'[1]Q2 16'!I12</f>
        <v>0</v>
      </c>
      <c r="I14" s="123">
        <f t="shared" si="3"/>
        <v>0</v>
      </c>
      <c r="J14" s="96">
        <f t="shared" si="0"/>
        <v>0</v>
      </c>
      <c r="L14" s="1"/>
      <c r="M14" s="2"/>
      <c r="N14" s="141">
        <f t="shared" si="1"/>
        <v>0</v>
      </c>
      <c r="Q14" s="1"/>
      <c r="R14" s="2"/>
      <c r="S14" s="141">
        <f t="shared" si="2"/>
        <v>0</v>
      </c>
    </row>
    <row r="15" spans="2:19" ht="15.75" thickBot="1" x14ac:dyDescent="0.3">
      <c r="B15" s="82"/>
      <c r="C15" s="79"/>
      <c r="D15" s="97"/>
      <c r="E15" s="115" t="s">
        <v>18</v>
      </c>
      <c r="F15" s="44">
        <v>7.0000000000000007E-2</v>
      </c>
      <c r="G15" s="43"/>
      <c r="H15" s="91">
        <f>'[1]Q2 16'!I13</f>
        <v>7.0000000000000007E-2</v>
      </c>
      <c r="I15" s="123">
        <f t="shared" si="3"/>
        <v>7.0000000000000007E-2</v>
      </c>
      <c r="J15" s="96">
        <f t="shared" si="0"/>
        <v>0</v>
      </c>
      <c r="L15" s="132">
        <v>0.02</v>
      </c>
      <c r="M15" s="2"/>
      <c r="N15" s="141">
        <f t="shared" si="1"/>
        <v>1.4000000000000002E-3</v>
      </c>
      <c r="Q15" s="132">
        <v>0.02</v>
      </c>
      <c r="R15" s="2"/>
      <c r="S15" s="141">
        <f t="shared" si="2"/>
        <v>1.4000000000000002E-3</v>
      </c>
    </row>
    <row r="16" spans="2:19" ht="15.75" thickBot="1" x14ac:dyDescent="0.3">
      <c r="B16" s="82"/>
      <c r="C16" s="79"/>
      <c r="D16" s="98"/>
      <c r="E16" s="118" t="s">
        <v>23</v>
      </c>
      <c r="F16" s="44">
        <v>0.03</v>
      </c>
      <c r="G16" s="43"/>
      <c r="H16" s="91">
        <f>'[1]Q2 16'!I14</f>
        <v>0.03</v>
      </c>
      <c r="I16" s="123">
        <f t="shared" si="3"/>
        <v>0.03</v>
      </c>
      <c r="J16" s="96">
        <f t="shared" si="0"/>
        <v>0</v>
      </c>
      <c r="L16" s="132">
        <v>0.05</v>
      </c>
      <c r="M16" s="2"/>
      <c r="N16" s="141">
        <f t="shared" si="1"/>
        <v>1.5E-3</v>
      </c>
      <c r="Q16" s="132">
        <v>0.04</v>
      </c>
      <c r="R16" s="2"/>
      <c r="S16" s="141">
        <f t="shared" si="2"/>
        <v>1.1999999999999999E-3</v>
      </c>
    </row>
    <row r="17" spans="2:19" ht="15.75" thickBot="1" x14ac:dyDescent="0.3">
      <c r="B17" s="81"/>
      <c r="C17" s="78"/>
      <c r="D17" s="99"/>
      <c r="E17" s="119" t="s">
        <v>39</v>
      </c>
      <c r="F17" s="39">
        <v>0.03</v>
      </c>
      <c r="G17" s="38"/>
      <c r="H17" s="91">
        <f>'[1]Q2 16'!I15</f>
        <v>0</v>
      </c>
      <c r="I17" s="123">
        <f t="shared" si="3"/>
        <v>0.03</v>
      </c>
      <c r="J17" s="96">
        <f t="shared" si="0"/>
        <v>0.03</v>
      </c>
      <c r="L17" s="132">
        <v>0.05</v>
      </c>
      <c r="M17" s="2"/>
      <c r="N17" s="141">
        <f t="shared" si="1"/>
        <v>1.5E-3</v>
      </c>
      <c r="Q17" s="132">
        <v>0.04</v>
      </c>
      <c r="R17" s="2"/>
      <c r="S17" s="141">
        <f t="shared" si="2"/>
        <v>1.1999999999999999E-3</v>
      </c>
    </row>
    <row r="18" spans="2:19" ht="15.75" thickBot="1" x14ac:dyDescent="0.3">
      <c r="B18" s="80" t="s">
        <v>11</v>
      </c>
      <c r="C18" s="86">
        <v>1</v>
      </c>
      <c r="D18" s="90">
        <f>100%-D14-D10-D8</f>
        <v>0.19999999999999998</v>
      </c>
      <c r="E18" s="47"/>
      <c r="F18" s="46"/>
      <c r="G18" s="105">
        <v>0.08</v>
      </c>
      <c r="H18" s="127">
        <f>'[1]Q2 16'!I16</f>
        <v>0.17</v>
      </c>
      <c r="I18" s="127">
        <f>D18</f>
        <v>0.19999999999999998</v>
      </c>
      <c r="J18" s="75">
        <f t="shared" si="0"/>
        <v>2.9999999999999971E-2</v>
      </c>
      <c r="L18" s="159">
        <v>-4.0000000000000001E-3</v>
      </c>
      <c r="M18" s="7"/>
      <c r="N18" s="142">
        <f>I18*L18</f>
        <v>-7.9999999999999993E-4</v>
      </c>
      <c r="Q18" s="1"/>
      <c r="R18" s="2"/>
      <c r="S18" s="141"/>
    </row>
    <row r="19" spans="2:19" ht="15.75" thickBot="1" x14ac:dyDescent="0.3">
      <c r="B19" s="89"/>
      <c r="C19" s="160"/>
      <c r="D19" s="135"/>
      <c r="E19" s="43"/>
      <c r="F19" s="43"/>
      <c r="G19" s="136"/>
      <c r="H19" s="136"/>
      <c r="I19" s="136"/>
      <c r="J19" s="136"/>
      <c r="K19" s="80" t="s">
        <v>44</v>
      </c>
      <c r="L19" s="137">
        <v>0.04</v>
      </c>
      <c r="M19" s="32"/>
      <c r="N19" s="143">
        <f>L19*G18</f>
        <v>3.2000000000000002E-3</v>
      </c>
      <c r="Q19" s="138">
        <v>0.05</v>
      </c>
      <c r="R19" s="32"/>
      <c r="S19" s="143">
        <f>Q19*G18</f>
        <v>4.0000000000000001E-3</v>
      </c>
    </row>
    <row r="20" spans="2:19" x14ac:dyDescent="0.25">
      <c r="H20" s="94"/>
      <c r="I20" s="94"/>
      <c r="J20" s="94"/>
      <c r="N20" s="131"/>
      <c r="S20" s="131"/>
    </row>
    <row r="21" spans="2:19" ht="15.75" thickBot="1" x14ac:dyDescent="0.3">
      <c r="H21" s="94"/>
      <c r="I21" s="94"/>
      <c r="J21" s="94"/>
      <c r="N21" s="131"/>
      <c r="S21" s="131"/>
    </row>
    <row r="22" spans="2:19" ht="19.5" thickBot="1" x14ac:dyDescent="0.35">
      <c r="B22" s="57" t="s">
        <v>12</v>
      </c>
      <c r="C22" s="58"/>
      <c r="D22" s="58"/>
      <c r="E22" s="58"/>
      <c r="F22" s="58"/>
      <c r="G22" s="59"/>
      <c r="H22" s="95"/>
      <c r="I22" s="95"/>
      <c r="J22" s="95"/>
      <c r="L22" s="9" t="s">
        <v>40</v>
      </c>
      <c r="M22" s="133"/>
      <c r="N22" s="134">
        <f>SUM(N25:N38)</f>
        <v>3.1380000000000005E-2</v>
      </c>
      <c r="Q22" s="9" t="str">
        <f>Q4</f>
        <v>Risk=</v>
      </c>
      <c r="R22" s="133"/>
      <c r="S22" s="134">
        <f>SUM(S25:S39)</f>
        <v>7.0700000000000013E-2</v>
      </c>
    </row>
    <row r="23" spans="2:19" ht="19.5" thickBot="1" x14ac:dyDescent="0.35">
      <c r="B23" s="60"/>
      <c r="C23" s="61"/>
      <c r="D23" s="61"/>
      <c r="E23" s="61"/>
      <c r="F23" s="61"/>
      <c r="G23" s="62"/>
      <c r="H23" s="108" t="str">
        <f>H6</f>
        <v>Q2</v>
      </c>
      <c r="I23" s="106" t="str">
        <f>I6</f>
        <v>Q3</v>
      </c>
      <c r="J23" s="109" t="str">
        <f>J6</f>
        <v xml:space="preserve">Delta (Q3-Q2) </v>
      </c>
      <c r="L23" s="156"/>
      <c r="M23" s="157"/>
      <c r="N23" s="161"/>
      <c r="Q23" s="156"/>
      <c r="R23" s="157"/>
      <c r="S23" s="158"/>
    </row>
    <row r="24" spans="2:19" ht="15.75" thickBot="1" x14ac:dyDescent="0.3">
      <c r="B24" s="48" t="s">
        <v>1</v>
      </c>
      <c r="C24" s="49"/>
      <c r="D24" s="19" t="str">
        <f>D7</f>
        <v>Q3 2016</v>
      </c>
      <c r="E24" s="19" t="s">
        <v>4</v>
      </c>
      <c r="F24" s="50" t="s">
        <v>5</v>
      </c>
      <c r="G24" s="50" t="s">
        <v>15</v>
      </c>
      <c r="H24" s="95"/>
      <c r="I24" s="33"/>
      <c r="J24" s="95"/>
      <c r="L24" s="1"/>
      <c r="M24" s="2"/>
      <c r="N24" s="141"/>
      <c r="Q24" s="1"/>
      <c r="R24" s="2"/>
      <c r="S24" s="141"/>
    </row>
    <row r="25" spans="2:19" ht="15.75" thickBot="1" x14ac:dyDescent="0.3">
      <c r="B25" s="23" t="s">
        <v>2</v>
      </c>
      <c r="C25" s="85">
        <v>0.3</v>
      </c>
      <c r="D25" s="75">
        <f>F25+F27+F26</f>
        <v>0.22999999999999998</v>
      </c>
      <c r="E25" s="20" t="s">
        <v>6</v>
      </c>
      <c r="F25" s="34">
        <v>0.18</v>
      </c>
      <c r="G25" s="41"/>
      <c r="H25" s="91">
        <v>0.22</v>
      </c>
      <c r="I25" s="91">
        <f>F25</f>
        <v>0.18</v>
      </c>
      <c r="J25" s="96">
        <f t="shared" ref="J25:J38" si="4">I25-H25</f>
        <v>-4.0000000000000008E-2</v>
      </c>
      <c r="L25" s="132">
        <f>L8</f>
        <v>0.05</v>
      </c>
      <c r="M25" s="2"/>
      <c r="N25" s="141">
        <f t="shared" ref="N25:N37" si="5">L25*F25</f>
        <v>8.9999999999999993E-3</v>
      </c>
      <c r="Q25" s="132">
        <f>Q8</f>
        <v>0.15</v>
      </c>
      <c r="R25" s="2"/>
      <c r="S25" s="141">
        <f>Q25*F25</f>
        <v>2.7E-2</v>
      </c>
    </row>
    <row r="26" spans="2:19" ht="15.75" thickBot="1" x14ac:dyDescent="0.3">
      <c r="B26" s="53"/>
      <c r="C26" s="76"/>
      <c r="D26" s="103"/>
      <c r="E26" s="29" t="s">
        <v>22</v>
      </c>
      <c r="F26" s="44">
        <v>0.02</v>
      </c>
      <c r="G26" s="42"/>
      <c r="H26" s="100">
        <v>0.03</v>
      </c>
      <c r="I26" s="91">
        <f t="shared" ref="I26:I37" si="6">F26</f>
        <v>0.02</v>
      </c>
      <c r="J26" s="96">
        <f t="shared" si="4"/>
        <v>-9.9999999999999985E-3</v>
      </c>
      <c r="L26" s="132">
        <v>0.06</v>
      </c>
      <c r="M26" s="2"/>
      <c r="N26" s="141">
        <f t="shared" si="5"/>
        <v>1.1999999999999999E-3</v>
      </c>
      <c r="Q26" s="132">
        <v>0.2</v>
      </c>
      <c r="R26" s="2"/>
      <c r="S26" s="141">
        <f t="shared" ref="S26:S37" si="7">Q26*F26</f>
        <v>4.0000000000000001E-3</v>
      </c>
    </row>
    <row r="27" spans="2:19" ht="15.75" thickBot="1" x14ac:dyDescent="0.3">
      <c r="B27" s="54"/>
      <c r="C27" s="77"/>
      <c r="D27" s="81"/>
      <c r="E27" s="22" t="s">
        <v>7</v>
      </c>
      <c r="F27" s="37">
        <v>0.03</v>
      </c>
      <c r="G27" s="36"/>
      <c r="H27" s="92">
        <v>0.05</v>
      </c>
      <c r="I27" s="91">
        <f t="shared" si="6"/>
        <v>0.03</v>
      </c>
      <c r="J27" s="96">
        <f t="shared" si="4"/>
        <v>-2.0000000000000004E-2</v>
      </c>
      <c r="L27" s="132">
        <f>L9</f>
        <v>0.03</v>
      </c>
      <c r="M27" s="2"/>
      <c r="N27" s="141">
        <f t="shared" si="5"/>
        <v>8.9999999999999998E-4</v>
      </c>
      <c r="Q27" s="132">
        <f>Q9</f>
        <v>0.1</v>
      </c>
      <c r="R27" s="2"/>
      <c r="S27" s="141">
        <f t="shared" si="7"/>
        <v>3.0000000000000001E-3</v>
      </c>
    </row>
    <row r="28" spans="2:19" ht="15.75" thickBot="1" x14ac:dyDescent="0.3">
      <c r="B28" s="23" t="s">
        <v>3</v>
      </c>
      <c r="C28" s="86">
        <v>0.8</v>
      </c>
      <c r="D28" s="75">
        <f>SUM(F28:F31)</f>
        <v>0.41</v>
      </c>
      <c r="E28" s="21" t="s">
        <v>8</v>
      </c>
      <c r="F28" s="34">
        <v>0.3</v>
      </c>
      <c r="G28" s="41"/>
      <c r="H28" s="91">
        <v>0.3</v>
      </c>
      <c r="I28" s="91">
        <f t="shared" si="6"/>
        <v>0.3</v>
      </c>
      <c r="J28" s="96">
        <f t="shared" si="4"/>
        <v>0</v>
      </c>
      <c r="L28" s="132">
        <f>L10</f>
        <v>0.03</v>
      </c>
      <c r="M28" s="2"/>
      <c r="N28" s="141">
        <f t="shared" si="5"/>
        <v>8.9999999999999993E-3</v>
      </c>
      <c r="Q28" s="132">
        <f>Q10</f>
        <v>5.5E-2</v>
      </c>
      <c r="R28" s="2"/>
      <c r="S28" s="141">
        <f t="shared" si="7"/>
        <v>1.6500000000000001E-2</v>
      </c>
    </row>
    <row r="29" spans="2:19" ht="15.75" thickBot="1" x14ac:dyDescent="0.3">
      <c r="B29" s="53"/>
      <c r="C29" s="79"/>
      <c r="D29" s="104"/>
      <c r="E29" s="115" t="s">
        <v>36</v>
      </c>
      <c r="F29" s="44">
        <v>0</v>
      </c>
      <c r="G29" s="42"/>
      <c r="H29" s="100">
        <v>7.0000000000000007E-2</v>
      </c>
      <c r="I29" s="91">
        <f t="shared" si="6"/>
        <v>0</v>
      </c>
      <c r="J29" s="96">
        <f t="shared" si="4"/>
        <v>-7.0000000000000007E-2</v>
      </c>
      <c r="L29" s="1"/>
      <c r="M29" s="2"/>
      <c r="N29" s="141">
        <f t="shared" si="5"/>
        <v>0</v>
      </c>
      <c r="Q29" s="1"/>
      <c r="R29" s="2"/>
      <c r="S29" s="141">
        <f t="shared" si="7"/>
        <v>0</v>
      </c>
    </row>
    <row r="30" spans="2:19" ht="15.75" thickBot="1" x14ac:dyDescent="0.3">
      <c r="B30" s="53"/>
      <c r="C30" s="79"/>
      <c r="D30" s="82"/>
      <c r="E30" s="129" t="s">
        <v>38</v>
      </c>
      <c r="F30" s="130">
        <v>0.04</v>
      </c>
      <c r="G30" s="42"/>
      <c r="H30" s="92">
        <v>0</v>
      </c>
      <c r="I30" s="91">
        <f t="shared" si="6"/>
        <v>0.04</v>
      </c>
      <c r="J30" s="75">
        <f t="shared" si="4"/>
        <v>0.04</v>
      </c>
      <c r="L30" s="132">
        <f>L12</f>
        <v>0.04</v>
      </c>
      <c r="M30" s="2"/>
      <c r="N30" s="141">
        <f t="shared" si="5"/>
        <v>1.6000000000000001E-3</v>
      </c>
      <c r="Q30" s="132">
        <f>Q12</f>
        <v>0.02</v>
      </c>
      <c r="R30" s="2"/>
      <c r="S30" s="141">
        <f t="shared" si="7"/>
        <v>8.0000000000000004E-4</v>
      </c>
    </row>
    <row r="31" spans="2:19" ht="15.75" thickBot="1" x14ac:dyDescent="0.3">
      <c r="B31" s="54"/>
      <c r="C31" s="78"/>
      <c r="D31" s="81"/>
      <c r="E31" s="7" t="s">
        <v>20</v>
      </c>
      <c r="F31" s="37">
        <v>7.0000000000000007E-2</v>
      </c>
      <c r="G31" s="36"/>
      <c r="H31" s="93">
        <v>0.05</v>
      </c>
      <c r="I31" s="91">
        <f t="shared" si="6"/>
        <v>7.0000000000000007E-2</v>
      </c>
      <c r="J31" s="75">
        <f t="shared" si="4"/>
        <v>2.0000000000000004E-2</v>
      </c>
      <c r="L31" s="132">
        <f>L13</f>
        <v>0.03</v>
      </c>
      <c r="M31" s="2"/>
      <c r="N31" s="141">
        <f t="shared" si="5"/>
        <v>2.1000000000000003E-3</v>
      </c>
      <c r="Q31" s="132">
        <f>Q13</f>
        <v>0.1</v>
      </c>
      <c r="R31" s="2"/>
      <c r="S31" s="141">
        <f t="shared" si="7"/>
        <v>7.000000000000001E-3</v>
      </c>
    </row>
    <row r="32" spans="2:19" ht="15.75" thickBot="1" x14ac:dyDescent="0.3">
      <c r="B32" s="56" t="s">
        <v>10</v>
      </c>
      <c r="C32" s="86">
        <v>0.25</v>
      </c>
      <c r="D32" s="75">
        <f>SUM(F32:F36)</f>
        <v>0.18000000000000002</v>
      </c>
      <c r="E32" s="117" t="s">
        <v>33</v>
      </c>
      <c r="F32" s="45">
        <v>0</v>
      </c>
      <c r="G32" s="41"/>
      <c r="H32" s="92">
        <v>0</v>
      </c>
      <c r="I32" s="91">
        <f t="shared" si="6"/>
        <v>0</v>
      </c>
      <c r="J32" s="96">
        <f t="shared" si="4"/>
        <v>0</v>
      </c>
      <c r="L32" s="1"/>
      <c r="M32" s="2"/>
      <c r="N32" s="141">
        <f t="shared" si="5"/>
        <v>0</v>
      </c>
      <c r="Q32" s="1"/>
      <c r="R32" s="2"/>
      <c r="S32" s="141">
        <f t="shared" si="7"/>
        <v>0</v>
      </c>
    </row>
    <row r="33" spans="2:19" ht="15.75" thickBot="1" x14ac:dyDescent="0.3">
      <c r="B33" s="83"/>
      <c r="C33" s="84"/>
      <c r="D33" s="82"/>
      <c r="E33" s="29" t="s">
        <v>18</v>
      </c>
      <c r="F33" s="44">
        <v>0.09</v>
      </c>
      <c r="G33" s="42"/>
      <c r="H33" s="100">
        <v>0.03</v>
      </c>
      <c r="I33" s="91">
        <f t="shared" si="6"/>
        <v>0.09</v>
      </c>
      <c r="J33" s="75">
        <f t="shared" si="4"/>
        <v>0.06</v>
      </c>
      <c r="L33" s="132">
        <f>L15</f>
        <v>0.02</v>
      </c>
      <c r="M33" s="2"/>
      <c r="N33" s="141">
        <f t="shared" si="5"/>
        <v>1.8E-3</v>
      </c>
      <c r="Q33" s="132">
        <f>Q15</f>
        <v>0.02</v>
      </c>
      <c r="R33" s="2"/>
      <c r="S33" s="141">
        <f t="shared" si="7"/>
        <v>1.8E-3</v>
      </c>
    </row>
    <row r="34" spans="2:19" ht="15.75" thickBot="1" x14ac:dyDescent="0.3">
      <c r="B34" s="53"/>
      <c r="C34" s="79"/>
      <c r="D34" s="98"/>
      <c r="E34" s="30" t="s">
        <v>23</v>
      </c>
      <c r="F34" s="44">
        <v>0.05</v>
      </c>
      <c r="G34" s="42"/>
      <c r="H34" s="100">
        <v>0.05</v>
      </c>
      <c r="I34" s="91">
        <f t="shared" si="6"/>
        <v>0.05</v>
      </c>
      <c r="J34" s="96">
        <f t="shared" si="4"/>
        <v>0</v>
      </c>
      <c r="L34" s="132">
        <f>L16</f>
        <v>0.05</v>
      </c>
      <c r="M34" s="2"/>
      <c r="N34" s="141">
        <f t="shared" si="5"/>
        <v>2.5000000000000005E-3</v>
      </c>
      <c r="Q34" s="132">
        <f>Q16</f>
        <v>0.04</v>
      </c>
      <c r="R34" s="2"/>
      <c r="S34" s="141">
        <f t="shared" si="7"/>
        <v>2E-3</v>
      </c>
    </row>
    <row r="35" spans="2:19" ht="15.75" thickBot="1" x14ac:dyDescent="0.3">
      <c r="B35" s="53"/>
      <c r="C35" s="79"/>
      <c r="D35" s="98"/>
      <c r="E35" s="30" t="s">
        <v>24</v>
      </c>
      <c r="F35" s="44">
        <v>0</v>
      </c>
      <c r="G35" s="42"/>
      <c r="H35" s="100">
        <v>0</v>
      </c>
      <c r="I35" s="91">
        <f t="shared" si="6"/>
        <v>0</v>
      </c>
      <c r="J35" s="96">
        <f t="shared" si="4"/>
        <v>0</v>
      </c>
      <c r="L35" s="1"/>
      <c r="M35" s="2"/>
      <c r="N35" s="141">
        <f t="shared" si="5"/>
        <v>0</v>
      </c>
      <c r="Q35" s="1"/>
      <c r="R35" s="2"/>
      <c r="S35" s="141">
        <f t="shared" si="7"/>
        <v>0</v>
      </c>
    </row>
    <row r="36" spans="2:19" ht="15.75" thickBot="1" x14ac:dyDescent="0.3">
      <c r="B36" s="54"/>
      <c r="C36" s="78"/>
      <c r="D36" s="81"/>
      <c r="E36" s="31" t="s">
        <v>13</v>
      </c>
      <c r="F36" s="39">
        <v>0.04</v>
      </c>
      <c r="G36" s="36"/>
      <c r="H36" s="92">
        <v>0.04</v>
      </c>
      <c r="I36" s="91">
        <f t="shared" si="6"/>
        <v>0.04</v>
      </c>
      <c r="J36" s="96">
        <f t="shared" si="4"/>
        <v>0</v>
      </c>
      <c r="L36" s="132">
        <v>0.05</v>
      </c>
      <c r="M36" s="2"/>
      <c r="N36" s="141">
        <f t="shared" si="5"/>
        <v>2E-3</v>
      </c>
      <c r="Q36" s="132">
        <v>0.05</v>
      </c>
      <c r="R36" s="2"/>
      <c r="S36" s="141">
        <f t="shared" si="7"/>
        <v>2E-3</v>
      </c>
    </row>
    <row r="37" spans="2:19" ht="15.75" thickBot="1" x14ac:dyDescent="0.3">
      <c r="B37" s="54"/>
      <c r="C37" s="78"/>
      <c r="D37" s="99"/>
      <c r="E37" s="119" t="s">
        <v>39</v>
      </c>
      <c r="F37" s="37">
        <v>0.04</v>
      </c>
      <c r="G37" s="36"/>
      <c r="H37" s="92">
        <v>0</v>
      </c>
      <c r="I37" s="91">
        <f t="shared" si="6"/>
        <v>0.04</v>
      </c>
      <c r="J37" s="75">
        <f t="shared" si="4"/>
        <v>0.04</v>
      </c>
      <c r="L37" s="132">
        <f>L17</f>
        <v>0.05</v>
      </c>
      <c r="M37" s="2"/>
      <c r="N37" s="141">
        <f t="shared" si="5"/>
        <v>2E-3</v>
      </c>
      <c r="Q37" s="132">
        <f>Q17</f>
        <v>0.04</v>
      </c>
      <c r="R37" s="2"/>
      <c r="S37" s="141">
        <f t="shared" si="7"/>
        <v>1.6000000000000001E-3</v>
      </c>
    </row>
    <row r="38" spans="2:19" ht="15.75" thickBot="1" x14ac:dyDescent="0.3">
      <c r="B38" s="55" t="s">
        <v>11</v>
      </c>
      <c r="C38" s="86">
        <v>1</v>
      </c>
      <c r="D38" s="87">
        <f>100%-D32-D28-D25</f>
        <v>0.18</v>
      </c>
      <c r="E38" s="7"/>
      <c r="F38" s="40"/>
      <c r="G38" s="75">
        <v>0.1</v>
      </c>
      <c r="H38" s="75">
        <v>0.16</v>
      </c>
      <c r="I38" s="75">
        <f>D38</f>
        <v>0.18</v>
      </c>
      <c r="J38" s="75">
        <f t="shared" si="4"/>
        <v>1.999999999999999E-2</v>
      </c>
      <c r="L38" s="159">
        <f>L18</f>
        <v>-4.0000000000000001E-3</v>
      </c>
      <c r="M38" s="7"/>
      <c r="N38" s="142">
        <f>L38*D38</f>
        <v>-7.1999999999999994E-4</v>
      </c>
      <c r="Q38" s="6"/>
      <c r="R38" s="7"/>
      <c r="S38" s="142" t="s">
        <v>46</v>
      </c>
    </row>
    <row r="39" spans="2:19" ht="15.75" thickBot="1" x14ac:dyDescent="0.3">
      <c r="H39" s="94"/>
      <c r="I39" s="94"/>
      <c r="J39" s="94"/>
      <c r="N39" s="131"/>
      <c r="Q39" s="138">
        <f>Q19</f>
        <v>0.05</v>
      </c>
      <c r="R39" s="32"/>
      <c r="S39" s="143">
        <f>Q39*G38</f>
        <v>5.000000000000001E-3</v>
      </c>
    </row>
    <row r="40" spans="2:19" x14ac:dyDescent="0.25">
      <c r="H40" s="94"/>
      <c r="I40" s="94"/>
      <c r="J40" s="94"/>
      <c r="N40" s="131"/>
      <c r="S40" s="131"/>
    </row>
    <row r="41" spans="2:19" ht="15.75" thickBot="1" x14ac:dyDescent="0.3">
      <c r="H41" s="94"/>
      <c r="I41" s="94"/>
      <c r="J41" s="94"/>
      <c r="N41" s="131"/>
      <c r="S41" s="131"/>
    </row>
    <row r="42" spans="2:19" ht="19.5" thickBot="1" x14ac:dyDescent="0.35">
      <c r="B42" s="69" t="s">
        <v>14</v>
      </c>
      <c r="C42" s="70"/>
      <c r="D42" s="70"/>
      <c r="E42" s="70"/>
      <c r="F42" s="70"/>
      <c r="G42" s="71"/>
      <c r="H42" s="95"/>
      <c r="I42" s="95"/>
      <c r="J42" s="95"/>
      <c r="L42" s="9" t="s">
        <v>40</v>
      </c>
      <c r="M42" s="133"/>
      <c r="N42" s="134">
        <f>SUM(N45:N59)</f>
        <v>3.9580000000000004E-2</v>
      </c>
      <c r="Q42" s="9" t="str">
        <f>Q22</f>
        <v>Risk=</v>
      </c>
      <c r="R42" s="133"/>
      <c r="S42" s="134">
        <f>SUM(S45:S59)</f>
        <v>9.2600000000000016E-2</v>
      </c>
    </row>
    <row r="43" spans="2:19" ht="19.5" thickBot="1" x14ac:dyDescent="0.35">
      <c r="B43" s="72"/>
      <c r="C43" s="73"/>
      <c r="D43" s="73"/>
      <c r="E43" s="73"/>
      <c r="F43" s="73"/>
      <c r="G43" s="74"/>
      <c r="H43" s="110" t="str">
        <f>H23</f>
        <v>Q2</v>
      </c>
      <c r="I43" s="106" t="str">
        <f>I23</f>
        <v>Q3</v>
      </c>
      <c r="J43" s="111" t="str">
        <f>J23</f>
        <v xml:space="preserve">Delta (Q3-Q2) </v>
      </c>
      <c r="L43" s="156"/>
      <c r="M43" s="157"/>
      <c r="N43" s="161"/>
      <c r="Q43" s="156"/>
      <c r="R43" s="157"/>
      <c r="S43" s="158"/>
    </row>
    <row r="44" spans="2:19" ht="15.75" thickBot="1" x14ac:dyDescent="0.3">
      <c r="B44" s="48" t="s">
        <v>1</v>
      </c>
      <c r="C44" s="49"/>
      <c r="D44" s="19" t="str">
        <f>D24</f>
        <v>Q3 2016</v>
      </c>
      <c r="E44" s="19" t="s">
        <v>4</v>
      </c>
      <c r="F44" s="50" t="s">
        <v>5</v>
      </c>
      <c r="G44" s="50" t="s">
        <v>15</v>
      </c>
      <c r="H44" s="95"/>
      <c r="I44" s="95"/>
      <c r="J44" s="95"/>
      <c r="L44" s="1"/>
      <c r="M44" s="2"/>
      <c r="N44" s="141"/>
      <c r="Q44" s="1"/>
      <c r="R44" s="2"/>
      <c r="S44" s="141"/>
    </row>
    <row r="45" spans="2:19" ht="15.75" thickBot="1" x14ac:dyDescent="0.3">
      <c r="B45" s="23" t="s">
        <v>2</v>
      </c>
      <c r="C45" s="85">
        <v>0.7</v>
      </c>
      <c r="D45" s="75">
        <f>SUM(F45:F50)</f>
        <v>0.50000000000000011</v>
      </c>
      <c r="E45" s="24" t="s">
        <v>6</v>
      </c>
      <c r="F45" s="45">
        <v>0.37</v>
      </c>
      <c r="G45" s="35"/>
      <c r="H45" s="91">
        <v>0.42</v>
      </c>
      <c r="I45" s="91">
        <f>'[1]Q2 16'!I40</f>
        <v>0.42</v>
      </c>
      <c r="J45" s="96">
        <f t="shared" ref="J45:J59" si="8">I45-H45</f>
        <v>0</v>
      </c>
      <c r="L45" s="132">
        <f>L25</f>
        <v>0.05</v>
      </c>
      <c r="M45" s="2"/>
      <c r="N45" s="141">
        <f t="shared" ref="N45:N58" si="9">L45*F45</f>
        <v>1.8499999999999999E-2</v>
      </c>
      <c r="Q45" s="132">
        <f>Q8</f>
        <v>0.15</v>
      </c>
      <c r="R45" s="2"/>
      <c r="S45" s="141">
        <f>Q45*F45</f>
        <v>5.5500000000000001E-2</v>
      </c>
    </row>
    <row r="46" spans="2:19" ht="15.75" thickBot="1" x14ac:dyDescent="0.3">
      <c r="B46" s="53"/>
      <c r="C46" s="76"/>
      <c r="D46" s="82"/>
      <c r="E46" s="25" t="s">
        <v>7</v>
      </c>
      <c r="F46" s="44">
        <v>0.03</v>
      </c>
      <c r="G46" s="43"/>
      <c r="H46" s="100">
        <v>0.06</v>
      </c>
      <c r="I46" s="91">
        <f>'[1]Q2 16'!I41</f>
        <v>0.06</v>
      </c>
      <c r="J46" s="96">
        <f t="shared" si="8"/>
        <v>0</v>
      </c>
      <c r="L46" s="132">
        <f>L27</f>
        <v>0.03</v>
      </c>
      <c r="M46" s="2"/>
      <c r="N46" s="141">
        <f t="shared" si="9"/>
        <v>8.9999999999999998E-4</v>
      </c>
      <c r="Q46" s="132">
        <f>Q9</f>
        <v>0.1</v>
      </c>
      <c r="R46" s="2"/>
      <c r="S46" s="141">
        <f t="shared" ref="S46:S58" si="10">Q46*F46</f>
        <v>3.0000000000000001E-3</v>
      </c>
    </row>
    <row r="47" spans="2:19" ht="15.75" thickBot="1" x14ac:dyDescent="0.3">
      <c r="B47" s="53"/>
      <c r="C47" s="76"/>
      <c r="D47" s="98"/>
      <c r="E47" s="25" t="s">
        <v>22</v>
      </c>
      <c r="F47" s="44">
        <v>0.03</v>
      </c>
      <c r="G47" s="43"/>
      <c r="H47" s="100">
        <v>0.03</v>
      </c>
      <c r="I47" s="91">
        <f>'[1]Q2 16'!I42</f>
        <v>0.04</v>
      </c>
      <c r="J47" s="96">
        <f t="shared" si="8"/>
        <v>1.0000000000000002E-2</v>
      </c>
      <c r="L47" s="132">
        <f>L26</f>
        <v>0.06</v>
      </c>
      <c r="M47" s="2"/>
      <c r="N47" s="141">
        <f t="shared" si="9"/>
        <v>1.8E-3</v>
      </c>
      <c r="Q47" s="132">
        <f>Q26</f>
        <v>0.2</v>
      </c>
      <c r="R47" s="2"/>
      <c r="S47" s="141">
        <f t="shared" si="10"/>
        <v>6.0000000000000001E-3</v>
      </c>
    </row>
    <row r="48" spans="2:19" ht="15.75" thickBot="1" x14ac:dyDescent="0.3">
      <c r="B48" s="53"/>
      <c r="C48" s="76"/>
      <c r="D48" s="98"/>
      <c r="E48" s="25" t="s">
        <v>16</v>
      </c>
      <c r="F48" s="44">
        <v>0.03</v>
      </c>
      <c r="G48" s="43"/>
      <c r="H48" s="100">
        <v>0.03</v>
      </c>
      <c r="I48" s="91">
        <f>'[1]Q2 16'!I43</f>
        <v>0.04</v>
      </c>
      <c r="J48" s="96">
        <f t="shared" si="8"/>
        <v>1.0000000000000002E-2</v>
      </c>
      <c r="L48" s="132">
        <v>0.06</v>
      </c>
      <c r="M48" s="2"/>
      <c r="N48" s="141">
        <f t="shared" si="9"/>
        <v>1.8E-3</v>
      </c>
      <c r="Q48" s="132">
        <v>0.15</v>
      </c>
      <c r="R48" s="2"/>
      <c r="S48" s="141">
        <f t="shared" si="10"/>
        <v>4.4999999999999997E-3</v>
      </c>
    </row>
    <row r="49" spans="2:19" ht="15.75" thickBot="1" x14ac:dyDescent="0.3">
      <c r="B49" s="53"/>
      <c r="C49" s="76"/>
      <c r="D49" s="98"/>
      <c r="E49" s="25" t="s">
        <v>25</v>
      </c>
      <c r="F49" s="44">
        <v>0</v>
      </c>
      <c r="G49" s="43"/>
      <c r="H49" s="102">
        <f>'[1]Q2 16'!I42</f>
        <v>0.04</v>
      </c>
      <c r="I49" s="91">
        <f>'[1]Q2 16'!I44</f>
        <v>0.03</v>
      </c>
      <c r="J49" s="96">
        <f t="shared" si="8"/>
        <v>-1.0000000000000002E-2</v>
      </c>
      <c r="L49" s="1"/>
      <c r="M49" s="2"/>
      <c r="N49" s="141">
        <f t="shared" si="9"/>
        <v>0</v>
      </c>
      <c r="Q49" s="1"/>
      <c r="R49" s="2"/>
      <c r="S49" s="141">
        <f t="shared" si="10"/>
        <v>0</v>
      </c>
    </row>
    <row r="50" spans="2:19" ht="15.75" thickBot="1" x14ac:dyDescent="0.3">
      <c r="B50" s="54"/>
      <c r="C50" s="77"/>
      <c r="D50" s="81"/>
      <c r="E50" s="26" t="s">
        <v>17</v>
      </c>
      <c r="F50" s="39">
        <v>0.04</v>
      </c>
      <c r="G50" s="38"/>
      <c r="H50" s="93">
        <v>0.03</v>
      </c>
      <c r="I50" s="91">
        <f>'[1]Q2 16'!I45</f>
        <v>0.04</v>
      </c>
      <c r="J50" s="96">
        <f t="shared" si="8"/>
        <v>1.0000000000000002E-2</v>
      </c>
      <c r="L50" s="132">
        <f>7%</f>
        <v>7.0000000000000007E-2</v>
      </c>
      <c r="M50" s="2"/>
      <c r="N50" s="141">
        <f t="shared" si="9"/>
        <v>2.8000000000000004E-3</v>
      </c>
      <c r="Q50" s="132">
        <v>0.15</v>
      </c>
      <c r="R50" s="2"/>
      <c r="S50" s="141">
        <f t="shared" si="10"/>
        <v>6.0000000000000001E-3</v>
      </c>
    </row>
    <row r="51" spans="2:19" ht="15.75" thickBot="1" x14ac:dyDescent="0.3">
      <c r="B51" s="23" t="s">
        <v>3</v>
      </c>
      <c r="C51" s="86">
        <v>0.5</v>
      </c>
      <c r="D51" s="75">
        <f>F51+F52</f>
        <v>0.18</v>
      </c>
      <c r="E51" s="27" t="s">
        <v>8</v>
      </c>
      <c r="F51" s="45">
        <v>0.18</v>
      </c>
      <c r="G51" s="35"/>
      <c r="H51" s="91">
        <f>'[1]Q2 16'!I46</f>
        <v>0.15</v>
      </c>
      <c r="I51" s="91">
        <f>F51</f>
        <v>0.18</v>
      </c>
      <c r="J51" s="96">
        <f t="shared" si="8"/>
        <v>0.03</v>
      </c>
      <c r="L51" s="132">
        <f>L28</f>
        <v>0.03</v>
      </c>
      <c r="M51" s="2"/>
      <c r="N51" s="141">
        <f t="shared" si="9"/>
        <v>5.3999999999999994E-3</v>
      </c>
      <c r="Q51" s="132">
        <f>Q10</f>
        <v>5.5E-2</v>
      </c>
      <c r="R51" s="2"/>
      <c r="S51" s="141">
        <f t="shared" si="10"/>
        <v>9.8999999999999991E-3</v>
      </c>
    </row>
    <row r="52" spans="2:19" ht="15.75" thickBot="1" x14ac:dyDescent="0.3">
      <c r="B52" s="54"/>
      <c r="C52" s="78"/>
      <c r="D52" s="81"/>
      <c r="E52" s="115" t="s">
        <v>36</v>
      </c>
      <c r="F52" s="37">
        <v>0</v>
      </c>
      <c r="G52" s="38"/>
      <c r="H52" s="101">
        <f>'[1]Q2 16'!I47</f>
        <v>0</v>
      </c>
      <c r="I52" s="91">
        <f t="shared" ref="I52:I58" si="11">F52</f>
        <v>0</v>
      </c>
      <c r="J52" s="96">
        <f t="shared" si="8"/>
        <v>0</v>
      </c>
      <c r="L52" s="1"/>
      <c r="M52" s="2"/>
      <c r="N52" s="141">
        <f t="shared" si="9"/>
        <v>0</v>
      </c>
      <c r="Q52" s="1"/>
      <c r="R52" s="2"/>
      <c r="S52" s="141">
        <f t="shared" si="10"/>
        <v>0</v>
      </c>
    </row>
    <row r="53" spans="2:19" ht="15.75" thickBot="1" x14ac:dyDescent="0.3">
      <c r="B53" s="23" t="s">
        <v>10</v>
      </c>
      <c r="C53" s="86">
        <v>0.3</v>
      </c>
      <c r="D53" s="75">
        <f>SUM(F53:F58)</f>
        <v>0.24</v>
      </c>
      <c r="E53" s="28" t="s">
        <v>23</v>
      </c>
      <c r="F53" s="45">
        <v>0.05</v>
      </c>
      <c r="G53" s="35"/>
      <c r="H53" s="91">
        <f>'[1]Q2 16'!I48</f>
        <v>0.05</v>
      </c>
      <c r="I53" s="91">
        <f t="shared" si="11"/>
        <v>0.05</v>
      </c>
      <c r="J53" s="96">
        <f t="shared" si="8"/>
        <v>0</v>
      </c>
      <c r="L53" s="132">
        <f>L34</f>
        <v>0.05</v>
      </c>
      <c r="M53" s="2"/>
      <c r="N53" s="141">
        <f t="shared" si="9"/>
        <v>2.5000000000000005E-3</v>
      </c>
      <c r="Q53" s="132">
        <f>Q16</f>
        <v>0.04</v>
      </c>
      <c r="R53" s="2"/>
      <c r="S53" s="141">
        <f t="shared" si="10"/>
        <v>2E-3</v>
      </c>
    </row>
    <row r="54" spans="2:19" ht="15.75" thickBot="1" x14ac:dyDescent="0.3">
      <c r="B54" s="53"/>
      <c r="C54" s="79"/>
      <c r="D54" s="120"/>
      <c r="E54" s="121" t="s">
        <v>33</v>
      </c>
      <c r="F54" s="122">
        <v>0.03</v>
      </c>
      <c r="G54" s="43"/>
      <c r="H54" s="92">
        <f>'[1]Q2 16'!I49</f>
        <v>0</v>
      </c>
      <c r="I54" s="91">
        <f t="shared" si="11"/>
        <v>0.03</v>
      </c>
      <c r="J54" s="96">
        <f t="shared" si="8"/>
        <v>0.03</v>
      </c>
      <c r="L54" s="1"/>
      <c r="M54" s="2"/>
      <c r="N54" s="141">
        <f t="shared" si="9"/>
        <v>0</v>
      </c>
      <c r="Q54" s="1"/>
      <c r="R54" s="2"/>
      <c r="S54" s="141">
        <f t="shared" si="10"/>
        <v>0</v>
      </c>
    </row>
    <row r="55" spans="2:19" ht="15.75" thickBot="1" x14ac:dyDescent="0.3">
      <c r="B55" s="53"/>
      <c r="C55" s="79"/>
      <c r="D55" s="82"/>
      <c r="E55" s="29" t="s">
        <v>18</v>
      </c>
      <c r="F55" s="44">
        <v>0.06</v>
      </c>
      <c r="G55" s="33"/>
      <c r="H55" s="100">
        <f>'[1]Q2 16'!I50</f>
        <v>0.04</v>
      </c>
      <c r="I55" s="91">
        <f t="shared" si="11"/>
        <v>0.06</v>
      </c>
      <c r="J55" s="96">
        <f t="shared" si="8"/>
        <v>1.9999999999999997E-2</v>
      </c>
      <c r="L55" s="132">
        <f>L33</f>
        <v>0.02</v>
      </c>
      <c r="M55" s="2"/>
      <c r="N55" s="141">
        <f t="shared" si="9"/>
        <v>1.1999999999999999E-3</v>
      </c>
      <c r="Q55" s="132">
        <f>Q15</f>
        <v>0.02</v>
      </c>
      <c r="R55" s="2"/>
      <c r="S55" s="141">
        <f t="shared" si="10"/>
        <v>1.1999999999999999E-3</v>
      </c>
    </row>
    <row r="56" spans="2:19" ht="15.75" thickBot="1" x14ac:dyDescent="0.3">
      <c r="B56" s="53"/>
      <c r="C56" s="79"/>
      <c r="D56" s="99"/>
      <c r="E56" s="119" t="s">
        <v>39</v>
      </c>
      <c r="F56" s="44">
        <v>0.05</v>
      </c>
      <c r="G56" s="33"/>
      <c r="H56" s="100">
        <v>0</v>
      </c>
      <c r="I56" s="91">
        <f t="shared" si="11"/>
        <v>0.05</v>
      </c>
      <c r="J56" s="96">
        <f t="shared" si="8"/>
        <v>0.05</v>
      </c>
      <c r="L56" s="132">
        <f>L37</f>
        <v>0.05</v>
      </c>
      <c r="M56" s="2"/>
      <c r="N56" s="141">
        <f t="shared" si="9"/>
        <v>2.5000000000000005E-3</v>
      </c>
      <c r="Q56" s="132">
        <f>Q17</f>
        <v>0.04</v>
      </c>
      <c r="R56" s="2"/>
      <c r="S56" s="141">
        <f t="shared" si="10"/>
        <v>2E-3</v>
      </c>
    </row>
    <row r="57" spans="2:19" ht="15.75" thickBot="1" x14ac:dyDescent="0.3">
      <c r="B57" s="53"/>
      <c r="C57" s="79"/>
      <c r="D57" s="98"/>
      <c r="E57" s="30" t="s">
        <v>24</v>
      </c>
      <c r="F57" s="44">
        <v>0</v>
      </c>
      <c r="G57" s="43"/>
      <c r="H57" s="100">
        <v>0</v>
      </c>
      <c r="I57" s="91">
        <f t="shared" si="11"/>
        <v>0</v>
      </c>
      <c r="J57" s="96">
        <f t="shared" si="8"/>
        <v>0</v>
      </c>
      <c r="L57" s="1"/>
      <c r="M57" s="2"/>
      <c r="N57" s="141">
        <f t="shared" si="9"/>
        <v>0</v>
      </c>
      <c r="Q57" s="1"/>
      <c r="R57" s="2"/>
      <c r="S57" s="141">
        <f t="shared" si="10"/>
        <v>0</v>
      </c>
    </row>
    <row r="58" spans="2:19" ht="15.75" thickBot="1" x14ac:dyDescent="0.3">
      <c r="B58" s="54"/>
      <c r="C58" s="78"/>
      <c r="D58" s="81"/>
      <c r="E58" s="31" t="s">
        <v>13</v>
      </c>
      <c r="F58" s="39">
        <v>0.05</v>
      </c>
      <c r="G58" s="38"/>
      <c r="H58" s="92">
        <f>'[1]Q2 16'!I52</f>
        <v>0.05</v>
      </c>
      <c r="I58" s="91">
        <f t="shared" si="11"/>
        <v>0.05</v>
      </c>
      <c r="J58" s="96">
        <f t="shared" si="8"/>
        <v>0</v>
      </c>
      <c r="L58" s="132">
        <f>L36</f>
        <v>0.05</v>
      </c>
      <c r="M58" s="2"/>
      <c r="N58" s="141">
        <f t="shared" si="9"/>
        <v>2.5000000000000005E-3</v>
      </c>
      <c r="Q58" s="132">
        <f>Q36</f>
        <v>0.05</v>
      </c>
      <c r="R58" s="2"/>
      <c r="S58" s="141">
        <f t="shared" si="10"/>
        <v>2.5000000000000005E-3</v>
      </c>
    </row>
    <row r="59" spans="2:19" ht="15.75" thickBot="1" x14ac:dyDescent="0.3">
      <c r="B59" s="23" t="s">
        <v>11</v>
      </c>
      <c r="C59" s="86">
        <v>1</v>
      </c>
      <c r="D59" s="87">
        <f>100%-D53-D51-D45</f>
        <v>7.999999999999996E-2</v>
      </c>
      <c r="E59" s="32"/>
      <c r="F59" s="46"/>
      <c r="G59" s="75">
        <v>0.12</v>
      </c>
      <c r="H59" s="75">
        <v>0.05</v>
      </c>
      <c r="I59" s="75">
        <f>D59</f>
        <v>7.999999999999996E-2</v>
      </c>
      <c r="J59" s="128">
        <f t="shared" si="8"/>
        <v>2.9999999999999957E-2</v>
      </c>
      <c r="L59" s="159">
        <f>L38</f>
        <v>-4.0000000000000001E-3</v>
      </c>
      <c r="M59" s="7"/>
      <c r="N59" s="142">
        <f>L59*D59</f>
        <v>-3.1999999999999986E-4</v>
      </c>
      <c r="Q59" s="6"/>
      <c r="R59" s="7"/>
      <c r="S59" s="142"/>
    </row>
    <row r="60" spans="2:19" ht="15.75" thickBot="1" x14ac:dyDescent="0.3">
      <c r="N60" s="131"/>
      <c r="Q60" s="138">
        <f>Q39</f>
        <v>0.05</v>
      </c>
      <c r="R60" s="32"/>
      <c r="S60" s="143">
        <f>Q60*G59</f>
        <v>6.0000000000000001E-3</v>
      </c>
    </row>
    <row r="61" spans="2:19" x14ac:dyDescent="0.25">
      <c r="N61" s="131"/>
      <c r="S61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Q2 16</vt:lpstr>
      <vt:lpstr>Q4 16</vt:lpstr>
      <vt:lpstr>Q4.1 16</vt:lpstr>
      <vt:lpstr>Q1 17</vt:lpstr>
      <vt:lpstr>Q1 16</vt:lpstr>
      <vt:lpstr>Q3 16</vt:lpstr>
      <vt:lpstr>'Q2 16'!Print_Area</vt:lpstr>
      <vt:lpstr>'Q4 16'!Print_Area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pmanet</dc:creator>
  <cp:lastModifiedBy>phil</cp:lastModifiedBy>
  <cp:lastPrinted>2016-10-28T13:40:04Z</cp:lastPrinted>
  <dcterms:created xsi:type="dcterms:W3CDTF">2015-04-08T11:23:34Z</dcterms:created>
  <dcterms:modified xsi:type="dcterms:W3CDTF">2017-04-05T16:17:39Z</dcterms:modified>
</cp:coreProperties>
</file>