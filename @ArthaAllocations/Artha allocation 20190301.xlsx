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65" windowWidth="23340" windowHeight="16590"/>
  </bookViews>
  <sheets>
    <sheet name="Allocation" sheetId="1" r:id="rId1"/>
  </sheets>
  <definedNames>
    <definedName name="_xlnm.Print_Area" localSheetId="0">Allocation!$A$1:$F$35</definedName>
  </definedNames>
  <calcPr calcId="145621"/>
</workbook>
</file>

<file path=xl/calcChain.xml><?xml version="1.0" encoding="utf-8"?>
<calcChain xmlns="http://schemas.openxmlformats.org/spreadsheetml/2006/main">
  <c r="J26" i="1" l="1"/>
  <c r="I26" i="1"/>
  <c r="H26" i="1"/>
  <c r="J24" i="1"/>
  <c r="I24" i="1"/>
  <c r="H24" i="1"/>
  <c r="J23" i="1"/>
  <c r="I23" i="1"/>
  <c r="H23" i="1"/>
  <c r="J22" i="1"/>
  <c r="I22" i="1"/>
  <c r="H22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9" i="1"/>
  <c r="I9" i="1"/>
  <c r="H9" i="1"/>
  <c r="J8" i="1"/>
  <c r="I8" i="1"/>
  <c r="H8" i="1"/>
  <c r="J3" i="1"/>
  <c r="I3" i="1"/>
  <c r="H3" i="1"/>
  <c r="N26" i="1"/>
  <c r="M26" i="1"/>
  <c r="L26" i="1"/>
  <c r="N24" i="1"/>
  <c r="M24" i="1"/>
  <c r="L24" i="1"/>
  <c r="N23" i="1"/>
  <c r="M23" i="1"/>
  <c r="L23" i="1"/>
  <c r="N22" i="1"/>
  <c r="M22" i="1"/>
  <c r="L22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9" i="1"/>
  <c r="M9" i="1"/>
  <c r="L9" i="1"/>
  <c r="N8" i="1"/>
  <c r="M8" i="1"/>
  <c r="L8" i="1"/>
  <c r="N3" i="1"/>
  <c r="M3" i="1"/>
  <c r="L3" i="1"/>
  <c r="Q18" i="1"/>
  <c r="F5" i="1" l="1"/>
  <c r="E5" i="1"/>
  <c r="D5" i="1"/>
  <c r="F21" i="1" l="1"/>
  <c r="F12" i="1"/>
  <c r="E21" i="1"/>
  <c r="E12" i="1"/>
  <c r="D12" i="1"/>
  <c r="D21" i="1"/>
  <c r="M29" i="1" l="1"/>
  <c r="N29" i="1"/>
  <c r="L29" i="1"/>
  <c r="Q9" i="1"/>
  <c r="F28" i="1"/>
  <c r="E28" i="1"/>
  <c r="D28" i="1"/>
  <c r="H29" i="1" l="1"/>
  <c r="D31" i="1" s="1"/>
  <c r="J29" i="1"/>
  <c r="F31" i="1" s="1"/>
  <c r="I29" i="1"/>
  <c r="E31" i="1" s="1"/>
</calcChain>
</file>

<file path=xl/sharedStrings.xml><?xml version="1.0" encoding="utf-8"?>
<sst xmlns="http://schemas.openxmlformats.org/spreadsheetml/2006/main" count="54" uniqueCount="42">
  <si>
    <t>EUR</t>
  </si>
  <si>
    <t>Fund</t>
  </si>
  <si>
    <t>TFC DharmaResearch Equity Fund  (as of: 09/04/18)</t>
  </si>
  <si>
    <t>DharmaResearch - EquityStrategy</t>
  </si>
  <si>
    <t>Dharmaresearch - DF Equity Fund</t>
  </si>
  <si>
    <t>TFC DharmaResearch Fixed Income Fund  (as of: 09/04/18)</t>
  </si>
  <si>
    <t>DharmaResearch - Fixed Income Strategy</t>
  </si>
  <si>
    <t>Dharmaresearch - DF Global Credit Fund</t>
  </si>
  <si>
    <t>Liontrust- GF Absolute Return Bond</t>
  </si>
  <si>
    <t>Muzinich European Credit Alpha Fund</t>
  </si>
  <si>
    <t>Twenty 1St-Q Cap Mang Ft-R1E</t>
  </si>
  <si>
    <t>Blackwall Europe L/S Fund</t>
  </si>
  <si>
    <t>LU1240908902</t>
  </si>
  <si>
    <t>LU1240909116</t>
  </si>
  <si>
    <t>LU0646914142</t>
  </si>
  <si>
    <t>IE00BD85PG80</t>
  </si>
  <si>
    <t>IE00BF4K8391</t>
  </si>
  <si>
    <t>LU1628004183</t>
  </si>
  <si>
    <t>IE00BSPPYB40</t>
  </si>
  <si>
    <t>Cash</t>
  </si>
  <si>
    <t>Equities</t>
  </si>
  <si>
    <t>Fixed Income</t>
  </si>
  <si>
    <t>Alternatives</t>
  </si>
  <si>
    <t>LU1693257310</t>
  </si>
  <si>
    <t>Cur.</t>
  </si>
  <si>
    <t>LU1901202280</t>
  </si>
  <si>
    <t>LU1901202363</t>
  </si>
  <si>
    <t>Isin</t>
  </si>
  <si>
    <t>Income</t>
  </si>
  <si>
    <t>Total</t>
  </si>
  <si>
    <r>
      <t>(</t>
    </r>
    <r>
      <rPr>
        <b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 xml:space="preserve"> unhedged Fx exposure)</t>
    </r>
  </si>
  <si>
    <t>Conservative</t>
  </si>
  <si>
    <t>* added for qualified investors (out of Dharma Credit)</t>
  </si>
  <si>
    <t>Balanced</t>
  </si>
  <si>
    <t>YTD performance ex All Fees (custody, transact, mgmt fee)</t>
  </si>
  <si>
    <t>Asia exp.</t>
  </si>
  <si>
    <t>Gold</t>
  </si>
  <si>
    <t xml:space="preserve">Trium Long Only </t>
  </si>
  <si>
    <t>2018 performance ex All Fees (custody, transact, mgmt fee)</t>
  </si>
  <si>
    <t>IE00BFMNVB92</t>
  </si>
  <si>
    <t>European Secured Lending RAIF  (as of: 02/28/19)*</t>
  </si>
  <si>
    <t>Arcano Fund - European Income Fund  (as of: 28/02/19)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</si>
</sst>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9" fontId="0" fillId="0" borderId="0" xfId="0" applyNumberFormat="1"/>
    <xf numFmtId="9" fontId="2" fillId="0" borderId="0" xfId="0" applyNumberFormat="1" applyFon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/>
    <xf numFmtId="0" fontId="0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0" fillId="0" borderId="0" xfId="1" applyNumberFormat="1" applyFont="1"/>
    <xf numFmtId="10" fontId="2" fillId="0" borderId="0" xfId="1" applyNumberFormat="1" applyFont="1"/>
    <xf numFmtId="164" fontId="0" fillId="0" borderId="0" xfId="1" applyNumberFormat="1" applyFont="1" applyFill="1"/>
    <xf numFmtId="10" fontId="0" fillId="0" borderId="0" xfId="0" applyNumberFormat="1" applyFill="1"/>
    <xf numFmtId="0" fontId="0" fillId="0" borderId="0" xfId="0" applyFill="1"/>
    <xf numFmtId="10" fontId="2" fillId="0" borderId="0" xfId="0" applyNumberFormat="1" applyFont="1" applyFill="1"/>
    <xf numFmtId="10" fontId="0" fillId="0" borderId="0" xfId="0" applyNumberFormat="1" applyFont="1" applyFill="1"/>
    <xf numFmtId="10" fontId="3" fillId="0" borderId="0" xfId="0" applyNumberFormat="1" applyFont="1" applyFill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abSelected="1" workbookViewId="0">
      <selection activeCell="I4" sqref="I4"/>
    </sheetView>
  </sheetViews>
  <sheetFormatPr defaultColWidth="8.85546875" defaultRowHeight="15" x14ac:dyDescent="0.25"/>
  <cols>
    <col min="1" max="1" width="13.85546875" bestFit="1" customWidth="1"/>
    <col min="2" max="2" width="53.140625" bestFit="1" customWidth="1"/>
    <col min="3" max="3" width="5" style="8" bestFit="1" customWidth="1"/>
    <col min="4" max="6" width="12.28515625" style="6" customWidth="1"/>
    <col min="7" max="7" width="4.42578125" style="6" customWidth="1"/>
    <col min="8" max="8" width="11.140625" style="11" bestFit="1" customWidth="1"/>
    <col min="9" max="10" width="10.140625" style="6" bestFit="1" customWidth="1"/>
    <col min="11" max="11" width="10.140625" style="6" customWidth="1"/>
    <col min="12" max="12" width="14.28515625" style="6" bestFit="1" customWidth="1"/>
    <col min="13" max="15" width="10.140625" style="6" customWidth="1"/>
    <col min="16" max="16" width="7.85546875" style="6" bestFit="1" customWidth="1"/>
    <col min="17" max="17" width="7.85546875" bestFit="1" customWidth="1"/>
    <col min="18" max="19" width="10.140625" bestFit="1" customWidth="1"/>
  </cols>
  <sheetData>
    <row r="1" spans="1:20" x14ac:dyDescent="0.25">
      <c r="A1" s="8" t="s">
        <v>27</v>
      </c>
      <c r="B1" s="8" t="s">
        <v>1</v>
      </c>
      <c r="C1" s="8" t="s">
        <v>24</v>
      </c>
      <c r="D1" s="10" t="s">
        <v>28</v>
      </c>
      <c r="E1" s="10" t="s">
        <v>31</v>
      </c>
      <c r="F1" s="10" t="s">
        <v>33</v>
      </c>
    </row>
    <row r="2" spans="1:20" x14ac:dyDescent="0.25">
      <c r="P2" s="6">
        <v>2019</v>
      </c>
      <c r="Q2">
        <v>2018</v>
      </c>
      <c r="R2">
        <v>2017</v>
      </c>
      <c r="S2">
        <v>2016</v>
      </c>
    </row>
    <row r="3" spans="1:20" x14ac:dyDescent="0.25">
      <c r="B3" s="1" t="s">
        <v>19</v>
      </c>
      <c r="D3" s="3">
        <v>0.2</v>
      </c>
      <c r="E3" s="3">
        <v>0.17</v>
      </c>
      <c r="F3" s="3">
        <v>0.08</v>
      </c>
      <c r="H3" s="13">
        <f>1+(D3*$P3)</f>
        <v>0.99950000000000006</v>
      </c>
      <c r="I3" s="13">
        <f>1+(E3*$P3)</f>
        <v>0.99957499999999999</v>
      </c>
      <c r="J3" s="13">
        <f>1+(F3*$P3)</f>
        <v>0.99980000000000002</v>
      </c>
      <c r="K3" s="13"/>
      <c r="L3" s="13">
        <f>1+(D3*$Q3)</f>
        <v>0.99950000000000006</v>
      </c>
      <c r="M3" s="13">
        <f>1+(E3*$Q3)</f>
        <v>0.99957499999999999</v>
      </c>
      <c r="N3" s="13">
        <f>1+(F3*$Q3)</f>
        <v>0.99980000000000002</v>
      </c>
      <c r="O3" s="13"/>
      <c r="P3" s="14">
        <v>-2.5000000000000001E-3</v>
      </c>
      <c r="Q3" s="14">
        <v>-2.5000000000000001E-3</v>
      </c>
      <c r="R3" s="14">
        <v>-2.5000000000000001E-3</v>
      </c>
      <c r="S3" s="14">
        <v>-4.0000000000000001E-3</v>
      </c>
      <c r="T3" s="15"/>
    </row>
    <row r="4" spans="1:20" s="6" customFormat="1" x14ac:dyDescent="0.25">
      <c r="B4" s="7"/>
      <c r="C4" s="8"/>
      <c r="H4" s="13"/>
      <c r="I4" s="13"/>
      <c r="J4" s="13"/>
      <c r="K4" s="13"/>
      <c r="L4" s="13"/>
      <c r="M4" s="13"/>
      <c r="N4" s="13"/>
      <c r="O4" s="13"/>
      <c r="P4" s="15"/>
      <c r="Q4" s="15"/>
      <c r="R4" s="15"/>
      <c r="S4" s="15"/>
      <c r="T4" s="15"/>
    </row>
    <row r="5" spans="1:20" x14ac:dyDescent="0.25">
      <c r="B5" s="1" t="s">
        <v>20</v>
      </c>
      <c r="D5" s="3">
        <f>SUM(D6:D10)</f>
        <v>0.2</v>
      </c>
      <c r="E5" s="3">
        <f>SUM(E6:E10)</f>
        <v>0.29000000000000004</v>
      </c>
      <c r="F5" s="3">
        <f>SUM(F6:F10)</f>
        <v>0.43</v>
      </c>
      <c r="H5" s="13"/>
      <c r="I5" s="13"/>
      <c r="J5" s="13"/>
      <c r="K5" s="13"/>
      <c r="L5" s="13"/>
      <c r="M5" s="13"/>
      <c r="N5" s="13"/>
      <c r="O5" s="13"/>
      <c r="P5" s="14"/>
      <c r="Q5" s="14"/>
      <c r="R5" s="15"/>
      <c r="S5" s="15"/>
      <c r="T5" s="15"/>
    </row>
    <row r="6" spans="1:20" ht="17.25" hidden="1" customHeight="1" x14ac:dyDescent="0.25">
      <c r="A6" t="s">
        <v>12</v>
      </c>
      <c r="B6" t="s">
        <v>2</v>
      </c>
      <c r="C6" s="8" t="s">
        <v>0</v>
      </c>
      <c r="H6" s="13"/>
      <c r="I6" s="13"/>
      <c r="J6" s="13"/>
      <c r="K6" s="13"/>
      <c r="L6" s="13"/>
      <c r="M6" s="13"/>
      <c r="N6" s="13"/>
      <c r="O6" s="13"/>
      <c r="P6" s="14">
        <v>2.93E-2</v>
      </c>
      <c r="Q6" s="14">
        <v>2.93E-2</v>
      </c>
      <c r="R6" s="14">
        <v>7.4200000000000002E-2</v>
      </c>
      <c r="S6" s="14">
        <v>0.1132</v>
      </c>
      <c r="T6" s="15"/>
    </row>
    <row r="7" spans="1:20" hidden="1" x14ac:dyDescent="0.25">
      <c r="B7" t="s">
        <v>3</v>
      </c>
      <c r="C7" s="8" t="s">
        <v>0</v>
      </c>
      <c r="H7" s="13"/>
      <c r="I7" s="13"/>
      <c r="J7" s="13"/>
      <c r="K7" s="13"/>
      <c r="L7" s="13"/>
      <c r="M7" s="13"/>
      <c r="N7" s="13"/>
      <c r="O7" s="13"/>
      <c r="P7" s="14">
        <v>-3.6999999999999998E-2</v>
      </c>
      <c r="Q7" s="14">
        <v>-3.6999999999999998E-2</v>
      </c>
      <c r="R7" s="14">
        <v>7.4200000000000002E-2</v>
      </c>
      <c r="S7" s="14">
        <v>0.1132</v>
      </c>
      <c r="T7" s="15"/>
    </row>
    <row r="8" spans="1:20" x14ac:dyDescent="0.25">
      <c r="A8" t="s">
        <v>25</v>
      </c>
      <c r="B8" s="7" t="s">
        <v>4</v>
      </c>
      <c r="C8" s="8" t="s">
        <v>0</v>
      </c>
      <c r="D8" s="2">
        <v>0.14000000000000001</v>
      </c>
      <c r="E8" s="2">
        <v>0.18</v>
      </c>
      <c r="F8" s="2">
        <v>0.27</v>
      </c>
      <c r="H8" s="13">
        <f t="shared" ref="H8:J9" si="0">1+(D8*$P8)</f>
        <v>1.0164219999999999</v>
      </c>
      <c r="I8" s="13">
        <f t="shared" si="0"/>
        <v>1.0211140000000001</v>
      </c>
      <c r="J8" s="13">
        <f t="shared" si="0"/>
        <v>1.031671</v>
      </c>
      <c r="K8" s="13"/>
      <c r="L8" s="13">
        <f t="shared" ref="L8:N9" si="1">1+(D8*$Q8)</f>
        <v>0.98765199999999997</v>
      </c>
      <c r="M8" s="13">
        <f t="shared" si="1"/>
        <v>0.984124</v>
      </c>
      <c r="N8" s="13">
        <f t="shared" si="1"/>
        <v>0.976186</v>
      </c>
      <c r="O8" s="13"/>
      <c r="P8" s="16">
        <v>0.1173</v>
      </c>
      <c r="Q8" s="16">
        <v>-8.8200000000000001E-2</v>
      </c>
      <c r="R8" s="14">
        <v>7.4200000000000002E-2</v>
      </c>
      <c r="S8" s="14">
        <v>0.1132</v>
      </c>
      <c r="T8" s="15"/>
    </row>
    <row r="9" spans="1:20" s="6" customFormat="1" x14ac:dyDescent="0.25">
      <c r="A9" s="6" t="s">
        <v>39</v>
      </c>
      <c r="B9" s="7" t="s">
        <v>37</v>
      </c>
      <c r="C9" s="8"/>
      <c r="D9" s="2">
        <v>0.06</v>
      </c>
      <c r="E9" s="2">
        <v>0.08</v>
      </c>
      <c r="F9" s="2">
        <v>0.12</v>
      </c>
      <c r="H9" s="13">
        <f t="shared" si="0"/>
        <v>1.0009600000000001</v>
      </c>
      <c r="I9" s="13">
        <f t="shared" si="0"/>
        <v>1.0012799999999999</v>
      </c>
      <c r="J9" s="13">
        <f t="shared" si="0"/>
        <v>1.0019199999999999</v>
      </c>
      <c r="K9" s="13"/>
      <c r="L9" s="13">
        <f t="shared" si="1"/>
        <v>0.99470800000000004</v>
      </c>
      <c r="M9" s="13">
        <f t="shared" si="1"/>
        <v>0.99294400000000005</v>
      </c>
      <c r="N9" s="13">
        <f t="shared" si="1"/>
        <v>0.98941599999999996</v>
      </c>
      <c r="O9" s="13"/>
      <c r="P9" s="17">
        <v>1.6E-2</v>
      </c>
      <c r="Q9" s="18">
        <f>+Q8</f>
        <v>-8.8200000000000001E-2</v>
      </c>
      <c r="R9" s="14"/>
      <c r="S9" s="14"/>
      <c r="T9" s="15"/>
    </row>
    <row r="10" spans="1:20" s="6" customFormat="1" x14ac:dyDescent="0.25">
      <c r="B10" s="7" t="s">
        <v>35</v>
      </c>
      <c r="C10" s="8"/>
      <c r="D10" s="2"/>
      <c r="E10" s="2">
        <v>0.03</v>
      </c>
      <c r="F10" s="2">
        <v>0.04</v>
      </c>
      <c r="H10" s="13"/>
      <c r="I10" s="13"/>
      <c r="J10" s="13"/>
      <c r="K10" s="13"/>
      <c r="L10" s="13"/>
      <c r="M10" s="13"/>
      <c r="N10" s="13"/>
      <c r="O10" s="13"/>
      <c r="P10" s="16"/>
      <c r="Q10" s="16"/>
      <c r="R10" s="14"/>
      <c r="S10" s="14"/>
      <c r="T10" s="15"/>
    </row>
    <row r="11" spans="1:20" s="6" customFormat="1" x14ac:dyDescent="0.25">
      <c r="B11" s="8"/>
      <c r="C11" s="8"/>
      <c r="H11" s="13"/>
      <c r="I11" s="13"/>
      <c r="J11" s="13"/>
      <c r="K11" s="13"/>
      <c r="L11" s="13"/>
      <c r="M11" s="13"/>
      <c r="N11" s="13"/>
      <c r="O11" s="13"/>
      <c r="P11" s="15"/>
      <c r="Q11" s="15"/>
      <c r="R11" s="14"/>
      <c r="S11" s="14"/>
      <c r="T11" s="15"/>
    </row>
    <row r="12" spans="1:20" x14ac:dyDescent="0.25">
      <c r="B12" s="1" t="s">
        <v>21</v>
      </c>
      <c r="D12" s="3">
        <f>SUM(D13:D19)</f>
        <v>0.49999999999999994</v>
      </c>
      <c r="E12" s="3">
        <f>SUM(E13:E19)</f>
        <v>0.42000000000000004</v>
      </c>
      <c r="F12" s="3">
        <f>SUM(F13:F19)</f>
        <v>0.35000000000000009</v>
      </c>
      <c r="H12" s="13"/>
      <c r="I12" s="13"/>
      <c r="J12" s="13"/>
      <c r="K12" s="13"/>
      <c r="L12" s="13"/>
      <c r="M12" s="13"/>
      <c r="N12" s="13"/>
      <c r="O12" s="13"/>
      <c r="P12" s="15"/>
      <c r="Q12" s="15"/>
      <c r="R12" s="14"/>
      <c r="S12" s="14"/>
      <c r="T12" s="15"/>
    </row>
    <row r="13" spans="1:20" hidden="1" x14ac:dyDescent="0.25">
      <c r="A13" t="s">
        <v>13</v>
      </c>
      <c r="B13" t="s">
        <v>5</v>
      </c>
      <c r="C13" s="8" t="s">
        <v>0</v>
      </c>
      <c r="H13" s="13"/>
      <c r="I13" s="13"/>
      <c r="J13" s="13"/>
      <c r="K13" s="13"/>
      <c r="L13" s="13"/>
      <c r="M13" s="13"/>
      <c r="N13" s="13"/>
      <c r="O13" s="13"/>
      <c r="P13" s="14">
        <v>-3.6400000000000002E-2</v>
      </c>
      <c r="Q13" s="14">
        <v>-3.6400000000000002E-2</v>
      </c>
      <c r="R13" s="14">
        <v>2.07E-2</v>
      </c>
      <c r="S13" s="14">
        <v>8.5599999999999996E-2</v>
      </c>
      <c r="T13" s="15"/>
    </row>
    <row r="14" spans="1:20" hidden="1" x14ac:dyDescent="0.25">
      <c r="B14" t="s">
        <v>6</v>
      </c>
      <c r="C14" s="8" t="s">
        <v>0</v>
      </c>
      <c r="H14" s="13"/>
      <c r="I14" s="13"/>
      <c r="J14" s="13"/>
      <c r="K14" s="13"/>
      <c r="L14" s="13"/>
      <c r="M14" s="13"/>
      <c r="N14" s="13"/>
      <c r="O14" s="13"/>
      <c r="P14" s="14">
        <v>-4.8800000000000003E-2</v>
      </c>
      <c r="Q14" s="14">
        <v>-4.8800000000000003E-2</v>
      </c>
      <c r="R14" s="14">
        <v>2.07E-2</v>
      </c>
      <c r="S14" s="14">
        <v>8.5599999999999996E-2</v>
      </c>
      <c r="T14" s="15"/>
    </row>
    <row r="15" spans="1:20" x14ac:dyDescent="0.25">
      <c r="A15" t="s">
        <v>26</v>
      </c>
      <c r="B15" t="s">
        <v>7</v>
      </c>
      <c r="C15" s="8" t="s">
        <v>0</v>
      </c>
      <c r="D15" s="2">
        <v>0.35</v>
      </c>
      <c r="E15" s="2">
        <v>0.28000000000000003</v>
      </c>
      <c r="F15" s="2">
        <v>0.23</v>
      </c>
      <c r="H15" s="13">
        <f t="shared" ref="H15:J19" si="2">1+(D15*$P15)</f>
        <v>1.0059849999999999</v>
      </c>
      <c r="I15" s="13">
        <f t="shared" si="2"/>
        <v>1.004788</v>
      </c>
      <c r="J15" s="13">
        <f t="shared" si="2"/>
        <v>1.003933</v>
      </c>
      <c r="K15" s="13"/>
      <c r="L15" s="13">
        <f t="shared" ref="L15:N19" si="3">1+(D15*$Q15)</f>
        <v>0.98299000000000003</v>
      </c>
      <c r="M15" s="13">
        <f t="shared" si="3"/>
        <v>0.98639200000000005</v>
      </c>
      <c r="N15" s="13">
        <f t="shared" si="3"/>
        <v>0.98882199999999998</v>
      </c>
      <c r="O15" s="13"/>
      <c r="P15" s="16">
        <v>1.7100000000000001E-2</v>
      </c>
      <c r="Q15" s="16">
        <v>-4.8599999999999997E-2</v>
      </c>
      <c r="R15" s="14">
        <v>2.07E-2</v>
      </c>
      <c r="S15" s="14">
        <v>8.5599999999999996E-2</v>
      </c>
      <c r="T15" s="15"/>
    </row>
    <row r="16" spans="1:20" s="6" customFormat="1" x14ac:dyDescent="0.25">
      <c r="A16" s="6" t="s">
        <v>23</v>
      </c>
      <c r="B16" s="6" t="s">
        <v>40</v>
      </c>
      <c r="C16" s="8" t="s">
        <v>0</v>
      </c>
      <c r="D16" s="2">
        <v>0.03</v>
      </c>
      <c r="E16" s="2">
        <v>0.04</v>
      </c>
      <c r="F16" s="2">
        <v>0.03</v>
      </c>
      <c r="H16" s="13">
        <f t="shared" si="2"/>
        <v>1.0002279999999999</v>
      </c>
      <c r="I16" s="13">
        <f t="shared" si="2"/>
        <v>1.0003040000000001</v>
      </c>
      <c r="J16" s="13">
        <f t="shared" si="2"/>
        <v>1.0002279999999999</v>
      </c>
      <c r="K16" s="13"/>
      <c r="L16" s="13">
        <f t="shared" si="3"/>
        <v>1.001506</v>
      </c>
      <c r="M16" s="13">
        <f t="shared" si="3"/>
        <v>1.002008</v>
      </c>
      <c r="N16" s="13">
        <f t="shared" si="3"/>
        <v>1.001506</v>
      </c>
      <c r="O16" s="13"/>
      <c r="P16" s="14">
        <v>7.6E-3</v>
      </c>
      <c r="Q16" s="14">
        <v>5.0200000000000002E-2</v>
      </c>
      <c r="R16" s="14"/>
      <c r="S16" s="14"/>
      <c r="T16" s="15"/>
    </row>
    <row r="17" spans="1:20" x14ac:dyDescent="0.25">
      <c r="A17" t="s">
        <v>14</v>
      </c>
      <c r="B17" t="s">
        <v>41</v>
      </c>
      <c r="C17" s="8" t="s">
        <v>0</v>
      </c>
      <c r="D17" s="2">
        <v>0.04</v>
      </c>
      <c r="E17" s="2">
        <v>0.04</v>
      </c>
      <c r="F17" s="2">
        <v>0.03</v>
      </c>
      <c r="H17" s="13">
        <f t="shared" si="2"/>
        <v>1.000464</v>
      </c>
      <c r="I17" s="13">
        <f t="shared" si="2"/>
        <v>1.000464</v>
      </c>
      <c r="J17" s="13">
        <f t="shared" si="2"/>
        <v>1.000348</v>
      </c>
      <c r="K17" s="13"/>
      <c r="L17" s="13">
        <f t="shared" si="3"/>
        <v>1.000024</v>
      </c>
      <c r="M17" s="13">
        <f t="shared" si="3"/>
        <v>1.000024</v>
      </c>
      <c r="N17" s="13">
        <f t="shared" si="3"/>
        <v>1.0000180000000001</v>
      </c>
      <c r="O17" s="13"/>
      <c r="P17" s="14">
        <v>1.1599999999999999E-2</v>
      </c>
      <c r="Q17" s="14">
        <v>5.9999999999999995E-4</v>
      </c>
      <c r="R17" s="14">
        <v>3.4599999999999999E-2</v>
      </c>
      <c r="S17" s="14">
        <v>4.1500000000000002E-2</v>
      </c>
      <c r="T17" s="15"/>
    </row>
    <row r="18" spans="1:20" x14ac:dyDescent="0.25">
      <c r="A18" t="s">
        <v>15</v>
      </c>
      <c r="B18" t="s">
        <v>8</v>
      </c>
      <c r="C18" s="8" t="s">
        <v>0</v>
      </c>
      <c r="D18" s="2">
        <v>0.04</v>
      </c>
      <c r="E18" s="2">
        <v>0.03</v>
      </c>
      <c r="F18" s="2">
        <v>0.03</v>
      </c>
      <c r="H18" s="13">
        <f t="shared" si="2"/>
        <v>1.0003439999999999</v>
      </c>
      <c r="I18" s="13">
        <f t="shared" si="2"/>
        <v>1.0002580000000001</v>
      </c>
      <c r="J18" s="13">
        <f t="shared" si="2"/>
        <v>1.0002580000000001</v>
      </c>
      <c r="K18" s="13"/>
      <c r="L18" s="13">
        <f t="shared" si="3"/>
        <v>0.99805600000000005</v>
      </c>
      <c r="M18" s="13">
        <f t="shared" si="3"/>
        <v>0.99854200000000004</v>
      </c>
      <c r="N18" s="13">
        <f t="shared" si="3"/>
        <v>0.99854200000000004</v>
      </c>
      <c r="O18" s="13"/>
      <c r="P18" s="14">
        <v>8.6E-3</v>
      </c>
      <c r="Q18" s="18">
        <f>Q15</f>
        <v>-4.8599999999999997E-2</v>
      </c>
      <c r="R18" s="15"/>
      <c r="S18" s="15"/>
      <c r="T18" s="15"/>
    </row>
    <row r="19" spans="1:20" x14ac:dyDescent="0.25">
      <c r="A19" t="s">
        <v>16</v>
      </c>
      <c r="B19" t="s">
        <v>9</v>
      </c>
      <c r="C19" s="8" t="s">
        <v>0</v>
      </c>
      <c r="D19" s="2">
        <v>0.04</v>
      </c>
      <c r="E19" s="2">
        <v>0.03</v>
      </c>
      <c r="F19" s="2">
        <v>0.03</v>
      </c>
      <c r="H19" s="13">
        <f t="shared" si="2"/>
        <v>1.0015039999999999</v>
      </c>
      <c r="I19" s="13">
        <f t="shared" si="2"/>
        <v>1.001128</v>
      </c>
      <c r="J19" s="13">
        <f t="shared" si="2"/>
        <v>1.001128</v>
      </c>
      <c r="K19" s="13"/>
      <c r="L19" s="13">
        <f t="shared" si="3"/>
        <v>0.99952799999999997</v>
      </c>
      <c r="M19" s="13">
        <f t="shared" si="3"/>
        <v>0.99964600000000003</v>
      </c>
      <c r="N19" s="13">
        <f t="shared" si="3"/>
        <v>0.99964600000000003</v>
      </c>
      <c r="O19" s="13"/>
      <c r="P19" s="14">
        <v>3.7600000000000001E-2</v>
      </c>
      <c r="Q19" s="14">
        <v>-1.18E-2</v>
      </c>
      <c r="R19" s="15"/>
      <c r="S19" s="15"/>
      <c r="T19" s="15"/>
    </row>
    <row r="20" spans="1:20" s="6" customFormat="1" x14ac:dyDescent="0.25">
      <c r="C20" s="8"/>
      <c r="H20" s="13"/>
      <c r="I20" s="13"/>
      <c r="J20" s="13"/>
      <c r="K20" s="13"/>
      <c r="L20" s="13"/>
      <c r="M20" s="13"/>
      <c r="N20" s="13"/>
      <c r="O20" s="13"/>
      <c r="P20" s="14"/>
      <c r="Q20" s="14"/>
      <c r="R20" s="15"/>
      <c r="S20" s="15"/>
      <c r="T20" s="15"/>
    </row>
    <row r="21" spans="1:20" x14ac:dyDescent="0.25">
      <c r="B21" s="5" t="s">
        <v>22</v>
      </c>
      <c r="D21" s="3">
        <f>SUM(D22:D26)</f>
        <v>0.1</v>
      </c>
      <c r="E21" s="3">
        <f>SUM(E22:E26)</f>
        <v>0.12</v>
      </c>
      <c r="F21" s="3">
        <f>SUM(F22:F26)</f>
        <v>0.14000000000000001</v>
      </c>
      <c r="H21" s="13"/>
      <c r="I21" s="13"/>
      <c r="J21" s="13"/>
      <c r="K21" s="13"/>
      <c r="L21" s="13"/>
      <c r="M21" s="13"/>
      <c r="N21" s="13"/>
      <c r="O21" s="13"/>
      <c r="P21" s="14"/>
      <c r="Q21" s="14"/>
      <c r="R21" s="15"/>
      <c r="S21" s="15"/>
      <c r="T21" s="15"/>
    </row>
    <row r="22" spans="1:20" x14ac:dyDescent="0.25">
      <c r="A22" t="s">
        <v>17</v>
      </c>
      <c r="B22" t="s">
        <v>10</v>
      </c>
      <c r="C22" s="8" t="s">
        <v>0</v>
      </c>
      <c r="D22" s="2">
        <v>0.03</v>
      </c>
      <c r="E22" s="2">
        <v>0.04</v>
      </c>
      <c r="F22" s="2">
        <v>0.05</v>
      </c>
      <c r="H22" s="13">
        <f t="shared" ref="H22:J24" si="4">1+(D22*$P22)</f>
        <v>1.003417</v>
      </c>
      <c r="I22" s="13">
        <f t="shared" si="4"/>
        <v>1.004556</v>
      </c>
      <c r="J22" s="13">
        <f t="shared" si="4"/>
        <v>1.005695</v>
      </c>
      <c r="K22" s="13"/>
      <c r="L22" s="13">
        <f t="shared" ref="L22:N24" si="5">1+(D22*$Q22)</f>
        <v>1</v>
      </c>
      <c r="M22" s="13">
        <f t="shared" si="5"/>
        <v>1</v>
      </c>
      <c r="N22" s="13">
        <f t="shared" si="5"/>
        <v>1</v>
      </c>
      <c r="O22" s="13"/>
      <c r="P22" s="14">
        <v>0.1139</v>
      </c>
      <c r="Q22" s="14">
        <v>0</v>
      </c>
      <c r="R22" s="15"/>
      <c r="S22" s="15"/>
      <c r="T22" s="15"/>
    </row>
    <row r="23" spans="1:20" hidden="1" x14ac:dyDescent="0.25">
      <c r="E23" s="2"/>
      <c r="F23" s="2"/>
      <c r="H23" s="13">
        <f t="shared" si="4"/>
        <v>1</v>
      </c>
      <c r="I23" s="13">
        <f t="shared" si="4"/>
        <v>1</v>
      </c>
      <c r="J23" s="13">
        <f t="shared" si="4"/>
        <v>1</v>
      </c>
      <c r="K23" s="13"/>
      <c r="L23" s="13">
        <f t="shared" si="5"/>
        <v>1</v>
      </c>
      <c r="M23" s="13">
        <f t="shared" si="5"/>
        <v>1</v>
      </c>
      <c r="N23" s="13">
        <f t="shared" si="5"/>
        <v>1</v>
      </c>
      <c r="O23" s="13"/>
      <c r="P23" s="14"/>
      <c r="Q23" s="14">
        <v>-8.3699999999999997E-2</v>
      </c>
      <c r="R23" s="14">
        <v>3.3999999999999998E-3</v>
      </c>
      <c r="S23" s="14">
        <v>-2.0999999999999999E-3</v>
      </c>
      <c r="T23" s="15"/>
    </row>
    <row r="24" spans="1:20" x14ac:dyDescent="0.25">
      <c r="A24" t="s">
        <v>18</v>
      </c>
      <c r="B24" t="s">
        <v>11</v>
      </c>
      <c r="C24" s="8" t="s">
        <v>0</v>
      </c>
      <c r="D24" s="2">
        <v>0.04</v>
      </c>
      <c r="E24" s="2">
        <v>0.04</v>
      </c>
      <c r="F24" s="2">
        <v>0.05</v>
      </c>
      <c r="H24" s="13">
        <f t="shared" si="4"/>
        <v>0.99950799999999995</v>
      </c>
      <c r="I24" s="13">
        <f t="shared" si="4"/>
        <v>0.99950799999999995</v>
      </c>
      <c r="J24" s="13">
        <f t="shared" si="4"/>
        <v>0.99938499999999997</v>
      </c>
      <c r="K24" s="13"/>
      <c r="L24" s="13">
        <f t="shared" si="5"/>
        <v>1.000248</v>
      </c>
      <c r="M24" s="13">
        <f t="shared" si="5"/>
        <v>1.000248</v>
      </c>
      <c r="N24" s="13">
        <f t="shared" si="5"/>
        <v>1.00031</v>
      </c>
      <c r="O24" s="13"/>
      <c r="P24" s="14">
        <v>-1.23E-2</v>
      </c>
      <c r="Q24" s="14">
        <v>6.1999999999999998E-3</v>
      </c>
      <c r="R24" s="14">
        <v>2.64E-2</v>
      </c>
      <c r="S24" s="14">
        <v>2.7000000000000001E-3</v>
      </c>
      <c r="T24" s="15"/>
    </row>
    <row r="25" spans="1:20" hidden="1" x14ac:dyDescent="0.25">
      <c r="H25" s="13"/>
      <c r="I25" s="13"/>
      <c r="J25" s="13"/>
      <c r="K25" s="13"/>
      <c r="L25" s="13"/>
      <c r="M25" s="13"/>
      <c r="N25" s="13"/>
      <c r="O25" s="13"/>
      <c r="P25" s="14"/>
      <c r="Q25" s="14">
        <v>-0.1116</v>
      </c>
      <c r="R25" s="14">
        <v>1.9400000000000001E-2</v>
      </c>
      <c r="S25" s="14">
        <v>0.1009</v>
      </c>
      <c r="T25" s="15"/>
    </row>
    <row r="26" spans="1:20" x14ac:dyDescent="0.25">
      <c r="B26" t="s">
        <v>36</v>
      </c>
      <c r="C26" s="8" t="s">
        <v>0</v>
      </c>
      <c r="D26" s="2">
        <v>0.03</v>
      </c>
      <c r="E26" s="2">
        <v>0.04</v>
      </c>
      <c r="F26" s="2">
        <v>0.04</v>
      </c>
      <c r="H26" s="13">
        <f>1+(D26*$P26)</f>
        <v>1.0011969999999999</v>
      </c>
      <c r="I26" s="13">
        <f>1+(E26*$P26)</f>
        <v>1.0015959999999999</v>
      </c>
      <c r="J26" s="13">
        <f>1+(F26*$P26)</f>
        <v>1.0015959999999999</v>
      </c>
      <c r="K26" s="13"/>
      <c r="L26" s="13">
        <f>1+(D26*$Q26)</f>
        <v>1.000915</v>
      </c>
      <c r="M26" s="13">
        <f>1+(E26*$Q26)</f>
        <v>1.00122</v>
      </c>
      <c r="N26" s="13">
        <f>1+(F26*$Q26)</f>
        <v>1.00122</v>
      </c>
      <c r="O26" s="13"/>
      <c r="P26" s="14">
        <v>3.9899999999999998E-2</v>
      </c>
      <c r="Q26" s="14">
        <v>3.0499999999999999E-2</v>
      </c>
      <c r="R26" s="14">
        <v>-8.6E-3</v>
      </c>
      <c r="S26" s="14">
        <v>0.1207</v>
      </c>
      <c r="T26" s="15"/>
    </row>
    <row r="27" spans="1:20" x14ac:dyDescent="0.25">
      <c r="H27" s="13"/>
      <c r="I27" s="13"/>
      <c r="J27" s="13"/>
      <c r="K27" s="13"/>
      <c r="L27" s="13"/>
      <c r="M27" s="13"/>
      <c r="N27" s="13"/>
      <c r="O27" s="13"/>
      <c r="P27" s="15"/>
      <c r="Q27" s="15"/>
      <c r="R27" s="15"/>
      <c r="S27" s="15"/>
      <c r="T27" s="15"/>
    </row>
    <row r="28" spans="1:20" x14ac:dyDescent="0.25">
      <c r="B28" s="9" t="s">
        <v>29</v>
      </c>
      <c r="D28" s="3">
        <f>+D21+D12+D5+D3</f>
        <v>1</v>
      </c>
      <c r="E28" s="3">
        <f>+E21+E12+E5+E3</f>
        <v>1</v>
      </c>
      <c r="F28" s="3">
        <f>+F21+F12+F5+F3</f>
        <v>1.0000000000000002</v>
      </c>
      <c r="H28" s="13"/>
      <c r="I28" s="13"/>
      <c r="J28" s="13"/>
      <c r="K28" s="13"/>
      <c r="L28" s="13"/>
      <c r="M28" s="13"/>
      <c r="N28" s="13"/>
      <c r="O28" s="13"/>
      <c r="P28" s="15"/>
      <c r="Q28" s="15"/>
      <c r="R28" s="15"/>
      <c r="S28" s="15"/>
      <c r="T28" s="15"/>
    </row>
    <row r="29" spans="1:20" x14ac:dyDescent="0.25">
      <c r="B29" s="4" t="s">
        <v>30</v>
      </c>
      <c r="D29" s="2">
        <v>0.05</v>
      </c>
      <c r="E29" s="2">
        <v>0.05</v>
      </c>
      <c r="F29" s="2">
        <v>0.05</v>
      </c>
      <c r="H29" s="13">
        <f>PRODUCT(H3:H26)</f>
        <v>1.0298047369743712</v>
      </c>
      <c r="I29" s="13">
        <f>PRODUCT(I3:I26)</f>
        <v>1.034922236474036</v>
      </c>
      <c r="J29" s="13">
        <f>PRODUCT(J3:J26)</f>
        <v>1.0464912176421168</v>
      </c>
      <c r="K29" s="13"/>
      <c r="L29" s="13">
        <f>PRODUCT(L3:L26)</f>
        <v>0.96549537748014602</v>
      </c>
      <c r="M29" s="13">
        <f>PRODUCT(M3:M26)</f>
        <v>0.96509684297953391</v>
      </c>
      <c r="N29" s="13">
        <f>PRODUCT(N3:N26)</f>
        <v>0.95605048336027709</v>
      </c>
      <c r="O29" s="13"/>
      <c r="P29" s="15"/>
      <c r="Q29" s="15"/>
      <c r="R29" s="15"/>
      <c r="S29" s="15"/>
      <c r="T29" s="15"/>
    </row>
    <row r="30" spans="1:20" x14ac:dyDescent="0.25">
      <c r="H30" s="1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x14ac:dyDescent="0.25">
      <c r="B31" t="s">
        <v>34</v>
      </c>
      <c r="C31" s="8">
        <v>2019</v>
      </c>
      <c r="D31" s="12">
        <f>+H29-1</f>
        <v>2.9804736974371249E-2</v>
      </c>
      <c r="E31" s="12">
        <f>+I29-1</f>
        <v>3.4922236474036028E-2</v>
      </c>
      <c r="F31" s="12">
        <f>+J29-1</f>
        <v>4.6491217642116833E-2</v>
      </c>
    </row>
    <row r="33" spans="2:6" x14ac:dyDescent="0.25">
      <c r="B33" t="s">
        <v>38</v>
      </c>
      <c r="C33" s="8">
        <v>2018</v>
      </c>
      <c r="D33" s="19">
        <v>-3.8600000000000002E-2</v>
      </c>
      <c r="E33" s="19">
        <v>-4.2299999999999997E-2</v>
      </c>
      <c r="F33" s="19">
        <v>-5.0700000000000002E-2</v>
      </c>
    </row>
    <row r="35" spans="2:6" x14ac:dyDescent="0.25">
      <c r="B35" t="s">
        <v>32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Allocation</vt:lpstr>
      <vt:lpstr>Allocation!Print_Area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AAgret</dc:creator>
  <cp:lastModifiedBy>AAgret</cp:lastModifiedBy>
  <cp:lastPrinted>2019-03-18T09:38:10Z</cp:lastPrinted>
  <dcterms:created xsi:type="dcterms:W3CDTF">2018-11-29T09:53:09Z</dcterms:created>
  <dcterms:modified xsi:type="dcterms:W3CDTF">2019-03-28T07:50:14Z</dcterms:modified>
</cp:coreProperties>
</file>