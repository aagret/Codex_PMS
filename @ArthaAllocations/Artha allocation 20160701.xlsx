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activeTab="1"/>
  </bookViews>
  <sheets>
    <sheet name="Q2 16" sheetId="1" r:id="rId1"/>
    <sheet name="Q3 16" sheetId="4" r:id="rId2"/>
    <sheet name="Q1 16" sheetId="2" r:id="rId3"/>
    <sheet name="Sheet3" sheetId="3" r:id="rId4"/>
  </sheets>
  <definedNames>
    <definedName name="_xlnm.Print_Area" localSheetId="0">'Q2 16'!$B$1:$J$53</definedName>
  </definedNames>
  <calcPr calcId="152511"/>
</workbook>
</file>

<file path=xl/calcChain.xml><?xml version="1.0" encoding="utf-8"?>
<calcChain xmlns="http://schemas.openxmlformats.org/spreadsheetml/2006/main">
  <c r="S39" i="4" l="1"/>
  <c r="S60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Q42" i="4"/>
  <c r="Q22" i="4"/>
  <c r="Q60" i="4"/>
  <c r="Q58" i="4"/>
  <c r="Q56" i="4"/>
  <c r="Q55" i="4"/>
  <c r="Q53" i="4"/>
  <c r="Q51" i="4"/>
  <c r="Q47" i="4"/>
  <c r="Q46" i="4"/>
  <c r="Q45" i="4"/>
  <c r="S37" i="4"/>
  <c r="S36" i="4"/>
  <c r="S35" i="4"/>
  <c r="S34" i="4"/>
  <c r="S33" i="4"/>
  <c r="S32" i="4"/>
  <c r="S31" i="4"/>
  <c r="S29" i="4"/>
  <c r="S28" i="4"/>
  <c r="S27" i="4"/>
  <c r="S26" i="4"/>
  <c r="S25" i="4"/>
  <c r="Q39" i="4"/>
  <c r="Q37" i="4"/>
  <c r="Q34" i="4"/>
  <c r="Q33" i="4"/>
  <c r="Q31" i="4"/>
  <c r="Q30" i="4"/>
  <c r="S30" i="4" s="1"/>
  <c r="Q28" i="4"/>
  <c r="Q27" i="4"/>
  <c r="Q25" i="4"/>
  <c r="S19" i="4"/>
  <c r="N4" i="4"/>
  <c r="N19" i="4"/>
  <c r="S17" i="4"/>
  <c r="S16" i="4"/>
  <c r="S15" i="4"/>
  <c r="S14" i="4"/>
  <c r="S13" i="4"/>
  <c r="S12" i="4"/>
  <c r="S11" i="4"/>
  <c r="S10" i="4"/>
  <c r="S9" i="4"/>
  <c r="S8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L59" i="4"/>
  <c r="L58" i="4"/>
  <c r="L56" i="4"/>
  <c r="L55" i="4"/>
  <c r="L53" i="4"/>
  <c r="L51" i="4"/>
  <c r="L50" i="4"/>
  <c r="L47" i="4"/>
  <c r="L46" i="4"/>
  <c r="L45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L38" i="4"/>
  <c r="L37" i="4"/>
  <c r="L34" i="4"/>
  <c r="L33" i="4"/>
  <c r="L31" i="4"/>
  <c r="L30" i="4"/>
  <c r="L28" i="4"/>
  <c r="L25" i="4"/>
  <c r="L27" i="4"/>
  <c r="N18" i="4"/>
  <c r="N17" i="4"/>
  <c r="N16" i="4"/>
  <c r="N15" i="4"/>
  <c r="N14" i="4"/>
  <c r="N13" i="4"/>
  <c r="N12" i="4"/>
  <c r="N11" i="4"/>
  <c r="N10" i="4"/>
  <c r="N9" i="4"/>
  <c r="N8" i="4"/>
  <c r="I49" i="4"/>
  <c r="I48" i="4"/>
  <c r="J48" i="4" s="1"/>
  <c r="I47" i="4"/>
  <c r="J47" i="4" s="1"/>
  <c r="I46" i="4"/>
  <c r="J46" i="4" s="1"/>
  <c r="I45" i="4"/>
  <c r="J45" i="4" s="1"/>
  <c r="I50" i="4"/>
  <c r="J50" i="4" s="1"/>
  <c r="I51" i="4"/>
  <c r="H51" i="4"/>
  <c r="H52" i="4"/>
  <c r="H58" i="4"/>
  <c r="J58" i="4" s="1"/>
  <c r="H55" i="4"/>
  <c r="H54" i="4"/>
  <c r="H53" i="4"/>
  <c r="H49" i="4"/>
  <c r="I58" i="4"/>
  <c r="I57" i="4"/>
  <c r="J57" i="4" s="1"/>
  <c r="I56" i="4"/>
  <c r="J56" i="4" s="1"/>
  <c r="I55" i="4"/>
  <c r="I54" i="4"/>
  <c r="I53" i="4"/>
  <c r="I52" i="4"/>
  <c r="J49" i="4"/>
  <c r="I37" i="4"/>
  <c r="J37" i="4" s="1"/>
  <c r="I36" i="4"/>
  <c r="I35" i="4"/>
  <c r="J35" i="4" s="1"/>
  <c r="I34" i="4"/>
  <c r="J34" i="4" s="1"/>
  <c r="I33" i="4"/>
  <c r="I32" i="4"/>
  <c r="I31" i="4"/>
  <c r="J31" i="4" s="1"/>
  <c r="I30" i="4"/>
  <c r="I29" i="4"/>
  <c r="I28" i="4"/>
  <c r="J28" i="4" s="1"/>
  <c r="I27" i="4"/>
  <c r="I26" i="4"/>
  <c r="J26" i="4" s="1"/>
  <c r="I25" i="4"/>
  <c r="J54" i="4"/>
  <c r="I43" i="4"/>
  <c r="D28" i="4"/>
  <c r="D10" i="4"/>
  <c r="J30" i="4"/>
  <c r="J36" i="4"/>
  <c r="J33" i="4"/>
  <c r="J32" i="4"/>
  <c r="J29" i="4"/>
  <c r="J27" i="4"/>
  <c r="J25" i="4"/>
  <c r="I23" i="4"/>
  <c r="I9" i="4"/>
  <c r="I17" i="4"/>
  <c r="I16" i="4"/>
  <c r="I15" i="4"/>
  <c r="I14" i="4"/>
  <c r="I13" i="4"/>
  <c r="I12" i="4"/>
  <c r="J12" i="4" s="1"/>
  <c r="I11" i="4"/>
  <c r="I10" i="4"/>
  <c r="I8" i="4"/>
  <c r="H18" i="4"/>
  <c r="H17" i="4"/>
  <c r="H16" i="4"/>
  <c r="H15" i="4"/>
  <c r="H14" i="4"/>
  <c r="H13" i="4"/>
  <c r="H11" i="4"/>
  <c r="H10" i="4"/>
  <c r="H9" i="4"/>
  <c r="J9" i="4" s="1"/>
  <c r="H8" i="4"/>
  <c r="D53" i="4"/>
  <c r="D51" i="4"/>
  <c r="D45" i="4"/>
  <c r="D32" i="4"/>
  <c r="D25" i="4"/>
  <c r="D24" i="4"/>
  <c r="D44" i="4" s="1"/>
  <c r="J23" i="4"/>
  <c r="J43" i="4" s="1"/>
  <c r="H23" i="4"/>
  <c r="H43" i="4" s="1"/>
  <c r="D14" i="4"/>
  <c r="D8" i="4"/>
  <c r="S22" i="4" l="1"/>
  <c r="S42" i="4"/>
  <c r="S4" i="4"/>
  <c r="J52" i="4"/>
  <c r="J51" i="4"/>
  <c r="J55" i="4"/>
  <c r="J53" i="4"/>
  <c r="J10" i="4"/>
  <c r="J8" i="4"/>
  <c r="J16" i="4"/>
  <c r="D38" i="4"/>
  <c r="D59" i="4"/>
  <c r="J15" i="4"/>
  <c r="J11" i="4"/>
  <c r="J13" i="4"/>
  <c r="D18" i="4"/>
  <c r="I18" i="4" s="1"/>
  <c r="J18" i="4" s="1"/>
  <c r="J17" i="4"/>
  <c r="J14" i="4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3" i="1"/>
  <c r="J32" i="1"/>
  <c r="J31" i="1"/>
  <c r="J30" i="1"/>
  <c r="J29" i="1"/>
  <c r="J28" i="1"/>
  <c r="J27" i="1"/>
  <c r="J26" i="1"/>
  <c r="J25" i="1"/>
  <c r="J24" i="1"/>
  <c r="J23" i="1"/>
  <c r="J22" i="1"/>
  <c r="J15" i="1"/>
  <c r="J14" i="1"/>
  <c r="J13" i="1"/>
  <c r="J12" i="1"/>
  <c r="J11" i="1"/>
  <c r="J10" i="1"/>
  <c r="J9" i="1"/>
  <c r="J8" i="1"/>
  <c r="J7" i="1"/>
  <c r="I38" i="4" l="1"/>
  <c r="J38" i="4" s="1"/>
  <c r="N38" i="4"/>
  <c r="N22" i="4" s="1"/>
  <c r="I59" i="4"/>
  <c r="J59" i="4" s="1"/>
  <c r="N59" i="4"/>
  <c r="N42" i="4" s="1"/>
  <c r="F53" i="2"/>
  <c r="F51" i="2"/>
  <c r="F46" i="2"/>
  <c r="F33" i="2"/>
  <c r="F38" i="2" s="1"/>
  <c r="F30" i="2"/>
  <c r="F27" i="2"/>
  <c r="F14" i="2"/>
  <c r="F11" i="2"/>
  <c r="F9" i="2"/>
  <c r="J20" i="1"/>
  <c r="J38" i="1" s="1"/>
  <c r="H20" i="1"/>
  <c r="H38" i="1" s="1"/>
  <c r="F18" i="2" l="1"/>
  <c r="F57" i="2"/>
  <c r="D40" i="1"/>
  <c r="D21" i="1"/>
  <c r="D39" i="1" s="1"/>
  <c r="D48" i="1" l="1"/>
  <c r="D28" i="1"/>
  <c r="D12" i="1"/>
  <c r="D22" i="1" l="1"/>
  <c r="D25" i="1"/>
  <c r="D9" i="1"/>
  <c r="D46" i="1" l="1"/>
  <c r="D7" i="1"/>
  <c r="D16" i="1" l="1"/>
  <c r="J16" i="1" s="1"/>
  <c r="D53" i="1"/>
  <c r="J53" i="1" s="1"/>
  <c r="D33" i="1"/>
</calcChain>
</file>

<file path=xl/sharedStrings.xml><?xml version="1.0" encoding="utf-8"?>
<sst xmlns="http://schemas.openxmlformats.org/spreadsheetml/2006/main" count="211" uniqueCount="48">
  <si>
    <t>Income Profile</t>
  </si>
  <si>
    <t>Statutory Max</t>
  </si>
  <si>
    <t>Equities:</t>
  </si>
  <si>
    <t>Bonds:</t>
  </si>
  <si>
    <t>Vector</t>
  </si>
  <si>
    <t>Vector Weight</t>
  </si>
  <si>
    <t>Cell D</t>
  </si>
  <si>
    <t>Exclusif 21</t>
  </si>
  <si>
    <t>Cell C</t>
  </si>
  <si>
    <t>KKR</t>
  </si>
  <si>
    <t>Alternatives:</t>
  </si>
  <si>
    <t>Cash:</t>
  </si>
  <si>
    <t>Conservative Profile</t>
  </si>
  <si>
    <t>Cimco</t>
  </si>
  <si>
    <t>Balanced Profile</t>
  </si>
  <si>
    <t>Active USD Long</t>
  </si>
  <si>
    <t>Shanti India</t>
  </si>
  <si>
    <t>Liontrust Asian</t>
  </si>
  <si>
    <t>Tactical</t>
  </si>
  <si>
    <t>Loan fund</t>
  </si>
  <si>
    <t>TFC Bonds</t>
  </si>
  <si>
    <t>Loan Fund</t>
  </si>
  <si>
    <t>TFC Small Caps</t>
  </si>
  <si>
    <t>Abrax</t>
  </si>
  <si>
    <t>Syquant</t>
  </si>
  <si>
    <t>Liontrust UK small caps</t>
  </si>
  <si>
    <t>Q1</t>
  </si>
  <si>
    <t>Allocations Q12016</t>
  </si>
  <si>
    <t>10 to 15%</t>
  </si>
  <si>
    <t>20 to 25%</t>
  </si>
  <si>
    <t xml:space="preserve">Q1 16 Allocation </t>
  </si>
  <si>
    <t>Q2</t>
  </si>
  <si>
    <t xml:space="preserve">Delta (Q3-Q2) </t>
  </si>
  <si>
    <t>Gold</t>
  </si>
  <si>
    <t>Q3 2016</t>
  </si>
  <si>
    <t xml:space="preserve">Q3 16 Allocation </t>
  </si>
  <si>
    <t>KKR NB C L/S TBC</t>
  </si>
  <si>
    <t>Q3</t>
  </si>
  <si>
    <t>Arcano Fund</t>
  </si>
  <si>
    <t>Commodities Fund</t>
  </si>
  <si>
    <t>12 Mos E®</t>
  </si>
  <si>
    <t>Return</t>
  </si>
  <si>
    <t>Estimated Downside Risk</t>
  </si>
  <si>
    <t>Average Correction</t>
  </si>
  <si>
    <t>Active ccy</t>
  </si>
  <si>
    <t>Corr=1</t>
  </si>
  <si>
    <t>Risk=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</si>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</sst>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9" fontId="0" fillId="0" borderId="0" xfId="0" applyNumberFormat="1" applyBorder="1"/>
    <xf numFmtId="164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Fill="1" applyBorder="1"/>
    <xf numFmtId="0" fontId="2" fillId="2" borderId="9" xfId="0" applyFont="1" applyFill="1" applyBorder="1" applyAlignment="1">
      <alignment horizontal="center"/>
    </xf>
    <xf numFmtId="9" fontId="0" fillId="0" borderId="2" xfId="0" applyNumberFormat="1" applyBorder="1"/>
    <xf numFmtId="0" fontId="0" fillId="0" borderId="2" xfId="0" applyBorder="1"/>
    <xf numFmtId="9" fontId="0" fillId="0" borderId="7" xfId="0" applyNumberFormat="1" applyBorder="1"/>
    <xf numFmtId="0" fontId="2" fillId="0" borderId="9" xfId="0" applyFont="1" applyBorder="1"/>
    <xf numFmtId="9" fontId="0" fillId="0" borderId="16" xfId="0" applyNumberFormat="1" applyBorder="1"/>
    <xf numFmtId="9" fontId="0" fillId="0" borderId="17" xfId="0" applyNumberFormat="1" applyBorder="1"/>
    <xf numFmtId="9" fontId="0" fillId="0" borderId="18" xfId="0" applyNumberFormat="1" applyBorder="1"/>
    <xf numFmtId="0" fontId="0" fillId="0" borderId="16" xfId="0" applyBorder="1"/>
    <xf numFmtId="0" fontId="0" fillId="0" borderId="16" xfId="0" applyFill="1" applyBorder="1"/>
    <xf numFmtId="0" fontId="0" fillId="0" borderId="17" xfId="0" applyBorder="1"/>
    <xf numFmtId="0" fontId="0" fillId="0" borderId="17" xfId="0" applyFill="1" applyBorder="1"/>
    <xf numFmtId="0" fontId="0" fillId="0" borderId="18" xfId="0" applyBorder="1"/>
    <xf numFmtId="0" fontId="0" fillId="0" borderId="15" xfId="0" applyBorder="1"/>
    <xf numFmtId="0" fontId="0" fillId="0" borderId="0" xfId="0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20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1" fillId="2" borderId="10" xfId="0" applyFont="1" applyFill="1" applyBorder="1"/>
    <xf numFmtId="0" fontId="1" fillId="2" borderId="11" xfId="0" applyFont="1" applyFill="1" applyBorder="1"/>
    <xf numFmtId="0" fontId="2" fillId="0" borderId="4" xfId="0" applyFont="1" applyBorder="1"/>
    <xf numFmtId="0" fontId="2" fillId="0" borderId="6" xfId="0" applyFont="1" applyBorder="1"/>
    <xf numFmtId="0" fontId="2" fillId="0" borderId="14" xfId="0" applyFont="1" applyBorder="1"/>
    <xf numFmtId="0" fontId="2" fillId="0" borderId="12" xfId="0" applyFont="1" applyBorder="1"/>
    <xf numFmtId="0" fontId="1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9" fontId="2" fillId="0" borderId="9" xfId="0" applyNumberFormat="1" applyFont="1" applyBorder="1" applyAlignment="1">
      <alignment horizontal="center"/>
    </xf>
    <xf numFmtId="9" fontId="2" fillId="0" borderId="5" xfId="0" applyNumberFormat="1" applyFont="1" applyBorder="1" applyAlignment="1">
      <alignment horizontal="center"/>
    </xf>
    <xf numFmtId="9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/>
    <xf numFmtId="0" fontId="2" fillId="0" borderId="3" xfId="0" applyFont="1" applyBorder="1" applyAlignment="1">
      <alignment horizontal="center"/>
    </xf>
    <xf numFmtId="9" fontId="2" fillId="2" borderId="9" xfId="0" applyNumberFormat="1" applyFont="1" applyFill="1" applyBorder="1" applyAlignment="1">
      <alignment horizontal="center"/>
    </xf>
    <xf numFmtId="9" fontId="3" fillId="2" borderId="11" xfId="0" applyNumberFormat="1" applyFont="1" applyFill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9" fontId="2" fillId="0" borderId="12" xfId="0" applyNumberFormat="1" applyFont="1" applyBorder="1" applyAlignment="1">
      <alignment horizontal="center"/>
    </xf>
    <xf numFmtId="9" fontId="2" fillId="0" borderId="13" xfId="0" applyNumberFormat="1" applyFont="1" applyBorder="1" applyAlignment="1">
      <alignment horizontal="center"/>
    </xf>
    <xf numFmtId="9" fontId="2" fillId="0" borderId="14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9" fontId="3" fillId="0" borderId="12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9" fontId="2" fillId="0" borderId="26" xfId="0" applyNumberFormat="1" applyFont="1" applyBorder="1" applyAlignment="1">
      <alignment horizontal="center"/>
    </xf>
    <xf numFmtId="9" fontId="2" fillId="0" borderId="27" xfId="0" applyNumberFormat="1" applyFont="1" applyBorder="1" applyAlignment="1">
      <alignment horizontal="center"/>
    </xf>
    <xf numFmtId="9" fontId="2" fillId="0" borderId="26" xfId="0" applyNumberFormat="1" applyFont="1" applyFill="1" applyBorder="1" applyAlignment="1">
      <alignment horizontal="center"/>
    </xf>
    <xf numFmtId="9" fontId="2" fillId="0" borderId="24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9" fontId="2" fillId="0" borderId="11" xfId="0" applyNumberFormat="1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9" fontId="0" fillId="0" borderId="2" xfId="0" applyNumberFormat="1" applyBorder="1" applyAlignment="1">
      <alignment horizontal="left"/>
    </xf>
    <xf numFmtId="9" fontId="0" fillId="0" borderId="18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9" fontId="2" fillId="0" borderId="4" xfId="0" applyNumberFormat="1" applyFont="1" applyBorder="1" applyAlignment="1">
      <alignment horizontal="center"/>
    </xf>
    <xf numFmtId="0" fontId="0" fillId="0" borderId="28" xfId="0" applyFill="1" applyBorder="1"/>
    <xf numFmtId="9" fontId="0" fillId="0" borderId="29" xfId="0" applyNumberForma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9" fontId="2" fillId="0" borderId="22" xfId="0" applyNumberFormat="1" applyFont="1" applyBorder="1" applyAlignment="1">
      <alignment horizontal="center"/>
    </xf>
    <xf numFmtId="9" fontId="2" fillId="0" borderId="23" xfId="0" applyNumberFormat="1" applyFont="1" applyBorder="1" applyAlignment="1">
      <alignment horizontal="center"/>
    </xf>
    <xf numFmtId="9" fontId="2" fillId="0" borderId="6" xfId="0" applyNumberFormat="1" applyFont="1" applyBorder="1" applyAlignment="1">
      <alignment horizontal="center"/>
    </xf>
    <xf numFmtId="9" fontId="2" fillId="0" borderId="10" xfId="0" applyNumberFormat="1" applyFont="1" applyBorder="1" applyAlignment="1">
      <alignment horizontal="center"/>
    </xf>
    <xf numFmtId="9" fontId="3" fillId="0" borderId="9" xfId="0" applyNumberFormat="1" applyFont="1" applyBorder="1" applyAlignment="1">
      <alignment horizontal="center"/>
    </xf>
    <xf numFmtId="0" fontId="0" fillId="0" borderId="0" xfId="0" applyBorder="1" applyAlignment="1">
      <alignment horizontal="left"/>
    </xf>
    <xf numFmtId="9" fontId="0" fillId="0" borderId="5" xfId="0" applyNumberFormat="1" applyBorder="1" applyAlignment="1">
      <alignment horizontal="center"/>
    </xf>
    <xf numFmtId="10" fontId="0" fillId="0" borderId="0" xfId="0" applyNumberFormat="1"/>
    <xf numFmtId="9" fontId="0" fillId="0" borderId="4" xfId="0" applyNumberFormat="1" applyBorder="1"/>
    <xf numFmtId="10" fontId="0" fillId="0" borderId="6" xfId="0" applyNumberFormat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10" fontId="1" fillId="2" borderId="3" xfId="0" applyNumberFormat="1" applyFont="1" applyFill="1" applyBorder="1"/>
    <xf numFmtId="9" fontId="3" fillId="2" borderId="0" xfId="0" applyNumberFormat="1" applyFont="1" applyFill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9" fontId="2" fillId="0" borderId="0" xfId="0" applyNumberFormat="1" applyFont="1" applyBorder="1" applyAlignment="1">
      <alignment horizontal="center"/>
    </xf>
    <xf numFmtId="10" fontId="0" fillId="0" borderId="10" xfId="0" applyNumberFormat="1" applyBorder="1"/>
    <xf numFmtId="9" fontId="0" fillId="0" borderId="10" xfId="0" applyNumberFormat="1" applyBorder="1"/>
    <xf numFmtId="0" fontId="4" fillId="0" borderId="0" xfId="0" applyFont="1"/>
    <xf numFmtId="0" fontId="4" fillId="0" borderId="0" xfId="0" applyFont="1" applyAlignment="1">
      <alignment horizontal="center"/>
    </xf>
    <xf numFmtId="10" fontId="0" fillId="0" borderId="5" xfId="0" applyNumberFormat="1" applyBorder="1"/>
    <xf numFmtId="10" fontId="0" fillId="0" borderId="8" xfId="0" applyNumberFormat="1" applyBorder="1"/>
    <xf numFmtId="10" fontId="0" fillId="0" borderId="11" xfId="0" applyNumberFormat="1" applyBorder="1"/>
    <xf numFmtId="10" fontId="1" fillId="2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53"/>
  <sheetViews>
    <sheetView topLeftCell="A19" workbookViewId="0">
      <selection activeCell="P22" sqref="P22"/>
    </sheetView>
  </sheetViews>
  <sheetFormatPr defaultRowHeight="15" x14ac:dyDescent="0.25"/>
  <cols>
    <col min="1" max="1" width="3" customWidth="1"/>
    <col min="2" max="2" width="12" customWidth="1"/>
    <col min="3" max="3" width="10.140625" bestFit="1" customWidth="1"/>
    <col min="5" max="5" width="18.5703125" customWidth="1"/>
    <col min="6" max="6" width="14" bestFit="1" customWidth="1"/>
    <col min="7" max="7" width="15.42578125" bestFit="1" customWidth="1"/>
    <col min="10" max="10" width="13.7109375" bestFit="1" customWidth="1"/>
  </cols>
  <sheetData>
    <row r="1" spans="2:10" ht="15.75" thickBot="1" x14ac:dyDescent="0.3"/>
    <row r="2" spans="2:10" ht="19.5" thickBot="1" x14ac:dyDescent="0.35">
      <c r="B2" s="51" t="s">
        <v>35</v>
      </c>
      <c r="C2" s="52"/>
    </row>
    <row r="3" spans="2:10" ht="15.75" thickBot="1" x14ac:dyDescent="0.3"/>
    <row r="4" spans="2:10" ht="19.5" thickBot="1" x14ac:dyDescent="0.35">
      <c r="B4" s="63" t="s">
        <v>0</v>
      </c>
      <c r="C4" s="64"/>
      <c r="D4" s="64"/>
      <c r="E4" s="64"/>
      <c r="F4" s="64"/>
      <c r="G4" s="65"/>
      <c r="H4" s="33"/>
      <c r="I4" s="33"/>
      <c r="J4" s="33"/>
    </row>
    <row r="5" spans="2:10" ht="15.75" thickBot="1" x14ac:dyDescent="0.3">
      <c r="B5" s="66"/>
      <c r="C5" s="67"/>
      <c r="D5" s="67"/>
      <c r="E5" s="67"/>
      <c r="F5" s="67"/>
      <c r="G5" s="68"/>
      <c r="H5" s="106" t="s">
        <v>26</v>
      </c>
      <c r="I5" s="106" t="s">
        <v>31</v>
      </c>
      <c r="J5" s="107" t="s">
        <v>32</v>
      </c>
    </row>
    <row r="6" spans="2:10" ht="15.75" thickBot="1" x14ac:dyDescent="0.3">
      <c r="B6" s="48" t="s">
        <v>1</v>
      </c>
      <c r="C6" s="49"/>
      <c r="D6" s="19" t="s">
        <v>34</v>
      </c>
      <c r="E6" s="19" t="s">
        <v>4</v>
      </c>
      <c r="F6" s="50" t="s">
        <v>5</v>
      </c>
      <c r="G6" s="50" t="s">
        <v>15</v>
      </c>
      <c r="H6" s="33"/>
      <c r="I6" s="33"/>
      <c r="J6" s="33"/>
    </row>
    <row r="7" spans="2:10" ht="15.75" thickBot="1" x14ac:dyDescent="0.3">
      <c r="B7" s="80" t="s">
        <v>2</v>
      </c>
      <c r="C7" s="85">
        <v>0.2</v>
      </c>
      <c r="D7" s="75">
        <f>F7+F8</f>
        <v>0.16</v>
      </c>
      <c r="E7" s="112" t="s">
        <v>6</v>
      </c>
      <c r="F7" s="34">
        <v>0.1</v>
      </c>
      <c r="G7" s="35"/>
      <c r="H7" s="91">
        <v>0.15</v>
      </c>
      <c r="I7" s="123">
        <v>0.13</v>
      </c>
      <c r="J7" s="96">
        <f>F7-I7</f>
        <v>-0.03</v>
      </c>
    </row>
    <row r="8" spans="2:10" ht="15.75" thickBot="1" x14ac:dyDescent="0.3">
      <c r="B8" s="81"/>
      <c r="C8" s="77"/>
      <c r="D8" s="88"/>
      <c r="E8" s="113" t="s">
        <v>7</v>
      </c>
      <c r="F8" s="39">
        <v>0.06</v>
      </c>
      <c r="G8" s="38"/>
      <c r="H8" s="101">
        <v>0.05</v>
      </c>
      <c r="I8" s="124">
        <v>0.05</v>
      </c>
      <c r="J8" s="91">
        <f t="shared" ref="J8:J15" si="0">F8-I8</f>
        <v>9.999999999999995E-3</v>
      </c>
    </row>
    <row r="9" spans="2:10" ht="15.75" thickBot="1" x14ac:dyDescent="0.3">
      <c r="B9" s="80" t="s">
        <v>3</v>
      </c>
      <c r="C9" s="86">
        <v>1</v>
      </c>
      <c r="D9" s="75">
        <f>F9+F10+F11</f>
        <v>0.52</v>
      </c>
      <c r="E9" s="114" t="s">
        <v>8</v>
      </c>
      <c r="F9" s="34">
        <v>0.37</v>
      </c>
      <c r="G9" s="35"/>
      <c r="H9" s="91">
        <v>0.4</v>
      </c>
      <c r="I9" s="123">
        <v>0.37</v>
      </c>
      <c r="J9" s="91">
        <f t="shared" si="0"/>
        <v>0</v>
      </c>
    </row>
    <row r="10" spans="2:10" ht="15.75" thickBot="1" x14ac:dyDescent="0.3">
      <c r="B10" s="82"/>
      <c r="C10" s="79"/>
      <c r="D10" s="89"/>
      <c r="E10" s="115" t="s">
        <v>36</v>
      </c>
      <c r="F10" s="44">
        <v>0.05</v>
      </c>
      <c r="G10" s="43"/>
      <c r="H10" s="100">
        <v>0.08</v>
      </c>
      <c r="I10" s="125">
        <v>0.08</v>
      </c>
      <c r="J10" s="96">
        <f t="shared" si="0"/>
        <v>-0.03</v>
      </c>
    </row>
    <row r="11" spans="2:10" ht="15.75" thickBot="1" x14ac:dyDescent="0.3">
      <c r="B11" s="81"/>
      <c r="C11" s="78"/>
      <c r="D11" s="88"/>
      <c r="E11" s="116" t="s">
        <v>20</v>
      </c>
      <c r="F11" s="37">
        <v>0.1</v>
      </c>
      <c r="G11" s="38"/>
      <c r="H11" s="93">
        <v>7.0000000000000007E-2</v>
      </c>
      <c r="I11" s="126">
        <v>0.1</v>
      </c>
      <c r="J11" s="96">
        <f t="shared" si="0"/>
        <v>0</v>
      </c>
    </row>
    <row r="12" spans="2:10" ht="15.75" thickBot="1" x14ac:dyDescent="0.3">
      <c r="B12" s="80" t="s">
        <v>10</v>
      </c>
      <c r="C12" s="86">
        <v>0.15</v>
      </c>
      <c r="D12" s="75">
        <f>SUM(F12:F15)</f>
        <v>0.17</v>
      </c>
      <c r="E12" s="117" t="s">
        <v>33</v>
      </c>
      <c r="F12" s="45">
        <v>7.0000000000000007E-2</v>
      </c>
      <c r="G12" s="35"/>
      <c r="H12" s="92">
        <v>0</v>
      </c>
      <c r="I12" s="120">
        <v>0</v>
      </c>
      <c r="J12" s="91">
        <f t="shared" si="0"/>
        <v>7.0000000000000007E-2</v>
      </c>
    </row>
    <row r="13" spans="2:10" ht="15.75" thickBot="1" x14ac:dyDescent="0.3">
      <c r="B13" s="82"/>
      <c r="C13" s="79"/>
      <c r="D13" s="97"/>
      <c r="E13" s="115" t="s">
        <v>18</v>
      </c>
      <c r="F13" s="44">
        <v>7.0000000000000007E-2</v>
      </c>
      <c r="G13" s="43"/>
      <c r="H13" s="100">
        <v>7.0000000000000007E-2</v>
      </c>
      <c r="I13" s="125">
        <v>7.0000000000000007E-2</v>
      </c>
      <c r="J13" s="91">
        <f t="shared" si="0"/>
        <v>0</v>
      </c>
    </row>
    <row r="14" spans="2:10" ht="15.75" thickBot="1" x14ac:dyDescent="0.3">
      <c r="B14" s="82"/>
      <c r="C14" s="79"/>
      <c r="D14" s="98"/>
      <c r="E14" s="118" t="s">
        <v>23</v>
      </c>
      <c r="F14" s="44">
        <v>0.03</v>
      </c>
      <c r="G14" s="43"/>
      <c r="H14" s="100">
        <v>0.03</v>
      </c>
      <c r="I14" s="125">
        <v>0.03</v>
      </c>
      <c r="J14" s="91">
        <f t="shared" si="0"/>
        <v>0</v>
      </c>
    </row>
    <row r="15" spans="2:10" ht="15.75" thickBot="1" x14ac:dyDescent="0.3">
      <c r="B15" s="81"/>
      <c r="C15" s="78"/>
      <c r="D15" s="99"/>
      <c r="E15" s="119" t="s">
        <v>24</v>
      </c>
      <c r="F15" s="39">
        <v>0</v>
      </c>
      <c r="G15" s="38"/>
      <c r="H15" s="92">
        <v>0</v>
      </c>
      <c r="I15" s="120">
        <v>0</v>
      </c>
      <c r="J15" s="91">
        <f t="shared" si="0"/>
        <v>0</v>
      </c>
    </row>
    <row r="16" spans="2:10" ht="15.75" thickBot="1" x14ac:dyDescent="0.3">
      <c r="B16" s="80" t="s">
        <v>11</v>
      </c>
      <c r="C16" s="86">
        <v>1</v>
      </c>
      <c r="D16" s="90">
        <f>100%-D12-D9-D7</f>
        <v>0.14999999999999994</v>
      </c>
      <c r="E16" s="47"/>
      <c r="F16" s="46"/>
      <c r="G16" s="105">
        <v>0.1</v>
      </c>
      <c r="H16" s="75">
        <v>0.15</v>
      </c>
      <c r="I16" s="127">
        <v>0.17</v>
      </c>
      <c r="J16" s="128">
        <f>D16-I16</f>
        <v>-2.0000000000000073E-2</v>
      </c>
    </row>
    <row r="17" spans="2:10" x14ac:dyDescent="0.25">
      <c r="H17" s="94"/>
      <c r="I17" s="94"/>
      <c r="J17" s="94"/>
    </row>
    <row r="18" spans="2:10" ht="15.75" thickBot="1" x14ac:dyDescent="0.3">
      <c r="H18" s="94"/>
      <c r="I18" s="94"/>
      <c r="J18" s="94"/>
    </row>
    <row r="19" spans="2:10" ht="19.5" thickBot="1" x14ac:dyDescent="0.35">
      <c r="B19" s="57" t="s">
        <v>12</v>
      </c>
      <c r="C19" s="58"/>
      <c r="D19" s="58"/>
      <c r="E19" s="58"/>
      <c r="F19" s="58"/>
      <c r="G19" s="59"/>
      <c r="H19" s="95"/>
      <c r="I19" s="95"/>
      <c r="J19" s="95"/>
    </row>
    <row r="20" spans="2:10" ht="15.75" thickBot="1" x14ac:dyDescent="0.3">
      <c r="B20" s="60"/>
      <c r="C20" s="61"/>
      <c r="D20" s="61"/>
      <c r="E20" s="61"/>
      <c r="F20" s="61"/>
      <c r="G20" s="62"/>
      <c r="H20" s="108" t="str">
        <f>H5</f>
        <v>Q1</v>
      </c>
      <c r="I20" s="106" t="s">
        <v>31</v>
      </c>
      <c r="J20" s="109" t="str">
        <f>J5</f>
        <v xml:space="preserve">Delta (Q3-Q2) </v>
      </c>
    </row>
    <row r="21" spans="2:10" ht="15.75" thickBot="1" x14ac:dyDescent="0.3">
      <c r="B21" s="48" t="s">
        <v>1</v>
      </c>
      <c r="C21" s="49"/>
      <c r="D21" s="19" t="str">
        <f>D6</f>
        <v>Q3 2016</v>
      </c>
      <c r="E21" s="19" t="s">
        <v>4</v>
      </c>
      <c r="F21" s="50" t="s">
        <v>5</v>
      </c>
      <c r="G21" s="50" t="s">
        <v>15</v>
      </c>
      <c r="H21" s="95"/>
      <c r="I21" s="33"/>
      <c r="J21" s="95"/>
    </row>
    <row r="22" spans="2:10" ht="15.75" thickBot="1" x14ac:dyDescent="0.3">
      <c r="B22" s="23" t="s">
        <v>2</v>
      </c>
      <c r="C22" s="85">
        <v>0.3</v>
      </c>
      <c r="D22" s="75">
        <f>F22+F24+F23</f>
        <v>0.28000000000000003</v>
      </c>
      <c r="E22" s="20" t="s">
        <v>6</v>
      </c>
      <c r="F22" s="34">
        <v>0.2</v>
      </c>
      <c r="G22" s="41"/>
      <c r="H22" s="91">
        <v>0.22</v>
      </c>
      <c r="I22" s="91">
        <v>0.2</v>
      </c>
      <c r="J22" s="91">
        <f>F22-I22</f>
        <v>0</v>
      </c>
    </row>
    <row r="23" spans="2:10" ht="15.75" thickBot="1" x14ac:dyDescent="0.3">
      <c r="B23" s="53"/>
      <c r="C23" s="76"/>
      <c r="D23" s="103"/>
      <c r="E23" s="29" t="s">
        <v>22</v>
      </c>
      <c r="F23" s="44">
        <v>0.03</v>
      </c>
      <c r="G23" s="42"/>
      <c r="H23" s="100">
        <v>0.03</v>
      </c>
      <c r="I23" s="101">
        <v>0.03</v>
      </c>
      <c r="J23" s="91">
        <f t="shared" ref="J23:J32" si="1">F23-I23</f>
        <v>0</v>
      </c>
    </row>
    <row r="24" spans="2:10" ht="15.75" thickBot="1" x14ac:dyDescent="0.3">
      <c r="B24" s="54"/>
      <c r="C24" s="77"/>
      <c r="D24" s="81"/>
      <c r="E24" s="22" t="s">
        <v>7</v>
      </c>
      <c r="F24" s="37">
        <v>0.05</v>
      </c>
      <c r="G24" s="36"/>
      <c r="H24" s="92">
        <v>0.05</v>
      </c>
      <c r="I24" s="91">
        <v>0.05</v>
      </c>
      <c r="J24" s="91">
        <f t="shared" si="1"/>
        <v>0</v>
      </c>
    </row>
    <row r="25" spans="2:10" ht="15.75" thickBot="1" x14ac:dyDescent="0.3">
      <c r="B25" s="23" t="s">
        <v>3</v>
      </c>
      <c r="C25" s="86">
        <v>0.8</v>
      </c>
      <c r="D25" s="75">
        <f>F25+F26+F27</f>
        <v>0.4</v>
      </c>
      <c r="E25" s="21" t="s">
        <v>8</v>
      </c>
      <c r="F25" s="34">
        <v>0.28000000000000003</v>
      </c>
      <c r="G25" s="41"/>
      <c r="H25" s="91">
        <v>0.3</v>
      </c>
      <c r="I25" s="100">
        <v>0.28000000000000003</v>
      </c>
      <c r="J25" s="91">
        <f t="shared" si="1"/>
        <v>0</v>
      </c>
    </row>
    <row r="26" spans="2:10" ht="15.75" thickBot="1" x14ac:dyDescent="0.3">
      <c r="B26" s="53"/>
      <c r="C26" s="79"/>
      <c r="D26" s="104"/>
      <c r="E26" s="115" t="s">
        <v>36</v>
      </c>
      <c r="F26" s="44">
        <v>0.05</v>
      </c>
      <c r="G26" s="42"/>
      <c r="H26" s="100">
        <v>7.0000000000000007E-2</v>
      </c>
      <c r="I26" s="93">
        <v>7.0000000000000007E-2</v>
      </c>
      <c r="J26" s="128">
        <f t="shared" si="1"/>
        <v>-2.0000000000000004E-2</v>
      </c>
    </row>
    <row r="27" spans="2:10" ht="15.75" thickBot="1" x14ac:dyDescent="0.3">
      <c r="B27" s="54"/>
      <c r="C27" s="78"/>
      <c r="D27" s="81"/>
      <c r="E27" s="7" t="s">
        <v>20</v>
      </c>
      <c r="F27" s="37">
        <v>7.0000000000000007E-2</v>
      </c>
      <c r="G27" s="36"/>
      <c r="H27" s="93">
        <v>0.05</v>
      </c>
      <c r="I27" s="92">
        <v>7.0000000000000007E-2</v>
      </c>
      <c r="J27" s="91">
        <f t="shared" si="1"/>
        <v>0</v>
      </c>
    </row>
    <row r="28" spans="2:10" ht="15.75" thickBot="1" x14ac:dyDescent="0.3">
      <c r="B28" s="56" t="s">
        <v>10</v>
      </c>
      <c r="C28" s="86">
        <v>0.25</v>
      </c>
      <c r="D28" s="75">
        <f>SUM(F28:F32)</f>
        <v>0.23</v>
      </c>
      <c r="E28" s="117" t="s">
        <v>33</v>
      </c>
      <c r="F28" s="45">
        <v>0.05</v>
      </c>
      <c r="G28" s="41"/>
      <c r="H28" s="92">
        <v>0</v>
      </c>
      <c r="I28" s="100">
        <v>0</v>
      </c>
      <c r="J28" s="91">
        <f t="shared" si="1"/>
        <v>0.05</v>
      </c>
    </row>
    <row r="29" spans="2:10" ht="15.75" thickBot="1" x14ac:dyDescent="0.3">
      <c r="B29" s="83"/>
      <c r="C29" s="84"/>
      <c r="D29" s="82"/>
      <c r="E29" s="29" t="s">
        <v>18</v>
      </c>
      <c r="F29" s="44">
        <v>0.09</v>
      </c>
      <c r="G29" s="42"/>
      <c r="H29" s="100">
        <v>0.03</v>
      </c>
      <c r="I29" s="100">
        <v>7.0000000000000007E-2</v>
      </c>
      <c r="J29" s="91">
        <f t="shared" si="1"/>
        <v>1.999999999999999E-2</v>
      </c>
    </row>
    <row r="30" spans="2:10" ht="15.75" thickBot="1" x14ac:dyDescent="0.3">
      <c r="B30" s="53"/>
      <c r="C30" s="79"/>
      <c r="D30" s="98"/>
      <c r="E30" s="30" t="s">
        <v>23</v>
      </c>
      <c r="F30" s="44">
        <v>0.05</v>
      </c>
      <c r="G30" s="42"/>
      <c r="H30" s="100">
        <v>0.05</v>
      </c>
      <c r="I30" s="92">
        <v>0.05</v>
      </c>
      <c r="J30" s="91">
        <f t="shared" si="1"/>
        <v>0</v>
      </c>
    </row>
    <row r="31" spans="2:10" ht="15.75" thickBot="1" x14ac:dyDescent="0.3">
      <c r="B31" s="53"/>
      <c r="C31" s="79"/>
      <c r="D31" s="98"/>
      <c r="E31" s="30" t="s">
        <v>24</v>
      </c>
      <c r="F31" s="44">
        <v>0</v>
      </c>
      <c r="G31" s="42"/>
      <c r="H31" s="100">
        <v>0</v>
      </c>
      <c r="I31" s="75">
        <v>0</v>
      </c>
      <c r="J31" s="91">
        <f t="shared" si="1"/>
        <v>0</v>
      </c>
    </row>
    <row r="32" spans="2:10" ht="15.75" thickBot="1" x14ac:dyDescent="0.3">
      <c r="B32" s="54"/>
      <c r="C32" s="78"/>
      <c r="D32" s="81"/>
      <c r="E32" s="31" t="s">
        <v>13</v>
      </c>
      <c r="F32" s="39">
        <v>0.04</v>
      </c>
      <c r="G32" s="36"/>
      <c r="H32" s="92">
        <v>0.04</v>
      </c>
      <c r="I32" s="92">
        <v>0.04</v>
      </c>
      <c r="J32" s="91">
        <f t="shared" si="1"/>
        <v>0</v>
      </c>
    </row>
    <row r="33" spans="2:10" ht="15.75" thickBot="1" x14ac:dyDescent="0.3">
      <c r="B33" s="55" t="s">
        <v>11</v>
      </c>
      <c r="C33" s="86">
        <v>1</v>
      </c>
      <c r="D33" s="87">
        <f>100%-D28-D25-D22</f>
        <v>8.9999999999999969E-2</v>
      </c>
      <c r="E33" s="7"/>
      <c r="F33" s="40"/>
      <c r="G33" s="75">
        <v>0.15</v>
      </c>
      <c r="H33" s="75">
        <v>0.16</v>
      </c>
      <c r="I33" s="75">
        <v>0.14000000000000001</v>
      </c>
      <c r="J33" s="128">
        <f>D33-I33</f>
        <v>-5.0000000000000044E-2</v>
      </c>
    </row>
    <row r="34" spans="2:10" x14ac:dyDescent="0.25">
      <c r="H34" s="94"/>
      <c r="I34" s="94"/>
      <c r="J34" s="94"/>
    </row>
    <row r="35" spans="2:10" x14ac:dyDescent="0.25">
      <c r="H35" s="94"/>
      <c r="I35" s="94"/>
      <c r="J35" s="94"/>
    </row>
    <row r="36" spans="2:10" ht="15.75" thickBot="1" x14ac:dyDescent="0.3">
      <c r="H36" s="94"/>
      <c r="I36" s="94"/>
      <c r="J36" s="94"/>
    </row>
    <row r="37" spans="2:10" ht="19.5" thickBot="1" x14ac:dyDescent="0.35">
      <c r="B37" s="69" t="s">
        <v>14</v>
      </c>
      <c r="C37" s="70"/>
      <c r="D37" s="70"/>
      <c r="E37" s="70"/>
      <c r="F37" s="70"/>
      <c r="G37" s="71"/>
      <c r="H37" s="95"/>
      <c r="I37" s="95"/>
      <c r="J37" s="95"/>
    </row>
    <row r="38" spans="2:10" ht="15.75" thickBot="1" x14ac:dyDescent="0.3">
      <c r="B38" s="72"/>
      <c r="C38" s="73"/>
      <c r="D38" s="73"/>
      <c r="E38" s="73"/>
      <c r="F38" s="73"/>
      <c r="G38" s="74"/>
      <c r="H38" s="110" t="str">
        <f>H20</f>
        <v>Q1</v>
      </c>
      <c r="I38" s="106" t="s">
        <v>31</v>
      </c>
      <c r="J38" s="111" t="str">
        <f>J20</f>
        <v xml:space="preserve">Delta (Q3-Q2) </v>
      </c>
    </row>
    <row r="39" spans="2:10" ht="15.75" thickBot="1" x14ac:dyDescent="0.3">
      <c r="B39" s="48" t="s">
        <v>1</v>
      </c>
      <c r="C39" s="49"/>
      <c r="D39" s="19" t="str">
        <f>D21</f>
        <v>Q3 2016</v>
      </c>
      <c r="E39" s="19" t="s">
        <v>4</v>
      </c>
      <c r="F39" s="50" t="s">
        <v>5</v>
      </c>
      <c r="G39" s="50" t="s">
        <v>15</v>
      </c>
      <c r="H39" s="95"/>
      <c r="I39" s="95"/>
      <c r="J39" s="95"/>
    </row>
    <row r="40" spans="2:10" ht="15.75" thickBot="1" x14ac:dyDescent="0.3">
      <c r="B40" s="23" t="s">
        <v>2</v>
      </c>
      <c r="C40" s="85">
        <v>0.7</v>
      </c>
      <c r="D40" s="75">
        <f>SUM(F40:F45)</f>
        <v>0.60000000000000009</v>
      </c>
      <c r="E40" s="24" t="s">
        <v>6</v>
      </c>
      <c r="F40" s="45">
        <v>0.39</v>
      </c>
      <c r="G40" s="35"/>
      <c r="H40" s="91">
        <v>0.42</v>
      </c>
      <c r="I40" s="91">
        <v>0.42</v>
      </c>
      <c r="J40" s="128">
        <f t="shared" ref="J40:J52" si="2">F40-I40</f>
        <v>-2.9999999999999971E-2</v>
      </c>
    </row>
    <row r="41" spans="2:10" ht="15.75" thickBot="1" x14ac:dyDescent="0.3">
      <c r="B41" s="53"/>
      <c r="C41" s="76"/>
      <c r="D41" s="82"/>
      <c r="E41" s="25" t="s">
        <v>7</v>
      </c>
      <c r="F41" s="44">
        <v>0.06</v>
      </c>
      <c r="G41" s="43"/>
      <c r="H41" s="100">
        <v>0.06</v>
      </c>
      <c r="I41" s="100">
        <v>0.06</v>
      </c>
      <c r="J41" s="91">
        <f t="shared" si="2"/>
        <v>0</v>
      </c>
    </row>
    <row r="42" spans="2:10" ht="15.75" thickBot="1" x14ac:dyDescent="0.3">
      <c r="B42" s="53"/>
      <c r="C42" s="76"/>
      <c r="D42" s="98"/>
      <c r="E42" s="25" t="s">
        <v>22</v>
      </c>
      <c r="F42" s="44">
        <v>0.04</v>
      </c>
      <c r="G42" s="43"/>
      <c r="H42" s="100">
        <v>0.03</v>
      </c>
      <c r="I42" s="100">
        <v>0.04</v>
      </c>
      <c r="J42" s="91">
        <f t="shared" si="2"/>
        <v>0</v>
      </c>
    </row>
    <row r="43" spans="2:10" ht="15.75" thickBot="1" x14ac:dyDescent="0.3">
      <c r="B43" s="53"/>
      <c r="C43" s="76"/>
      <c r="D43" s="98"/>
      <c r="E43" s="25" t="s">
        <v>16</v>
      </c>
      <c r="F43" s="44">
        <v>0.04</v>
      </c>
      <c r="G43" s="43"/>
      <c r="H43" s="100">
        <v>0.03</v>
      </c>
      <c r="I43" s="100">
        <v>0.04</v>
      </c>
      <c r="J43" s="91">
        <f t="shared" si="2"/>
        <v>0</v>
      </c>
    </row>
    <row r="44" spans="2:10" ht="15.75" thickBot="1" x14ac:dyDescent="0.3">
      <c r="B44" s="53"/>
      <c r="C44" s="76"/>
      <c r="D44" s="98"/>
      <c r="E44" s="25" t="s">
        <v>25</v>
      </c>
      <c r="F44" s="44">
        <v>0.03</v>
      </c>
      <c r="G44" s="43"/>
      <c r="H44" s="102">
        <v>0</v>
      </c>
      <c r="I44" s="102">
        <v>0.03</v>
      </c>
      <c r="J44" s="91">
        <f t="shared" si="2"/>
        <v>0</v>
      </c>
    </row>
    <row r="45" spans="2:10" ht="15.75" thickBot="1" x14ac:dyDescent="0.3">
      <c r="B45" s="54"/>
      <c r="C45" s="77"/>
      <c r="D45" s="81"/>
      <c r="E45" s="26" t="s">
        <v>17</v>
      </c>
      <c r="F45" s="39">
        <v>0.04</v>
      </c>
      <c r="G45" s="38"/>
      <c r="H45" s="93">
        <v>0.03</v>
      </c>
      <c r="I45" s="92">
        <v>0.04</v>
      </c>
      <c r="J45" s="91">
        <f t="shared" si="2"/>
        <v>0</v>
      </c>
    </row>
    <row r="46" spans="2:10" ht="15.75" thickBot="1" x14ac:dyDescent="0.3">
      <c r="B46" s="23" t="s">
        <v>3</v>
      </c>
      <c r="C46" s="86">
        <v>0.5</v>
      </c>
      <c r="D46" s="75">
        <f>F46+F47</f>
        <v>0.15</v>
      </c>
      <c r="E46" s="27" t="s">
        <v>8</v>
      </c>
      <c r="F46" s="45">
        <v>0.15</v>
      </c>
      <c r="G46" s="35"/>
      <c r="H46" s="91">
        <v>0.18</v>
      </c>
      <c r="I46" s="91">
        <v>0.15</v>
      </c>
      <c r="J46" s="91">
        <f t="shared" si="2"/>
        <v>0</v>
      </c>
    </row>
    <row r="47" spans="2:10" ht="15.75" thickBot="1" x14ac:dyDescent="0.3">
      <c r="B47" s="54"/>
      <c r="C47" s="78"/>
      <c r="D47" s="81"/>
      <c r="E47" s="115" t="s">
        <v>36</v>
      </c>
      <c r="F47" s="37">
        <v>0</v>
      </c>
      <c r="G47" s="38"/>
      <c r="H47" s="101">
        <v>0.05</v>
      </c>
      <c r="I47" s="101">
        <v>0</v>
      </c>
      <c r="J47" s="91">
        <f t="shared" si="2"/>
        <v>0</v>
      </c>
    </row>
    <row r="48" spans="2:10" ht="15.75" thickBot="1" x14ac:dyDescent="0.3">
      <c r="B48" s="23" t="s">
        <v>10</v>
      </c>
      <c r="C48" s="86">
        <v>0.3</v>
      </c>
      <c r="D48" s="75">
        <f>SUM(F48:F52)</f>
        <v>0.19</v>
      </c>
      <c r="E48" s="28" t="s">
        <v>23</v>
      </c>
      <c r="F48" s="45">
        <v>0.05</v>
      </c>
      <c r="G48" s="35"/>
      <c r="H48" s="91">
        <v>0.06</v>
      </c>
      <c r="I48" s="92">
        <v>0.05</v>
      </c>
      <c r="J48" s="91">
        <f t="shared" si="2"/>
        <v>0</v>
      </c>
    </row>
    <row r="49" spans="2:10" ht="15.75" thickBot="1" x14ac:dyDescent="0.3">
      <c r="B49" s="53"/>
      <c r="C49" s="79"/>
      <c r="D49" s="120"/>
      <c r="E49" s="121" t="s">
        <v>33</v>
      </c>
      <c r="F49" s="122">
        <v>0.03</v>
      </c>
      <c r="G49" s="43"/>
      <c r="H49" s="92">
        <v>0</v>
      </c>
      <c r="I49" s="92">
        <v>0</v>
      </c>
      <c r="J49" s="91">
        <f t="shared" si="2"/>
        <v>0.03</v>
      </c>
    </row>
    <row r="50" spans="2:10" ht="15.75" thickBot="1" x14ac:dyDescent="0.3">
      <c r="B50" s="53"/>
      <c r="C50" s="79"/>
      <c r="D50" s="82"/>
      <c r="E50" s="29" t="s">
        <v>18</v>
      </c>
      <c r="F50" s="44">
        <v>0.06</v>
      </c>
      <c r="G50" s="33"/>
      <c r="H50" s="100">
        <v>0.04</v>
      </c>
      <c r="I50" s="100">
        <v>0.04</v>
      </c>
      <c r="J50" s="91">
        <f t="shared" si="2"/>
        <v>1.9999999999999997E-2</v>
      </c>
    </row>
    <row r="51" spans="2:10" ht="15.75" thickBot="1" x14ac:dyDescent="0.3">
      <c r="B51" s="53"/>
      <c r="C51" s="79"/>
      <c r="D51" s="98"/>
      <c r="E51" s="30" t="s">
        <v>24</v>
      </c>
      <c r="F51" s="44">
        <v>0</v>
      </c>
      <c r="G51" s="43"/>
      <c r="H51" s="100">
        <v>0</v>
      </c>
      <c r="I51" s="100">
        <v>0</v>
      </c>
      <c r="J51" s="91">
        <f t="shared" si="2"/>
        <v>0</v>
      </c>
    </row>
    <row r="52" spans="2:10" ht="15.75" thickBot="1" x14ac:dyDescent="0.3">
      <c r="B52" s="54"/>
      <c r="C52" s="78"/>
      <c r="D52" s="81"/>
      <c r="E52" s="31" t="s">
        <v>13</v>
      </c>
      <c r="F52" s="39">
        <v>0.05</v>
      </c>
      <c r="G52" s="38"/>
      <c r="H52" s="92">
        <v>0.05</v>
      </c>
      <c r="I52" s="92">
        <v>0.05</v>
      </c>
      <c r="J52" s="91">
        <f t="shared" si="2"/>
        <v>0</v>
      </c>
    </row>
    <row r="53" spans="2:10" ht="15.75" thickBot="1" x14ac:dyDescent="0.3">
      <c r="B53" s="23" t="s">
        <v>11</v>
      </c>
      <c r="C53" s="86">
        <v>1</v>
      </c>
      <c r="D53" s="87">
        <f>100%-D48-D46-D40</f>
        <v>5.9999999999999942E-2</v>
      </c>
      <c r="E53" s="32"/>
      <c r="F53" s="46"/>
      <c r="G53" s="75">
        <v>0.18</v>
      </c>
      <c r="H53" s="75">
        <v>0.05</v>
      </c>
      <c r="I53" s="75">
        <v>0.08</v>
      </c>
      <c r="J53" s="128">
        <f>D53-I53</f>
        <v>-2.0000000000000059E-2</v>
      </c>
    </row>
  </sheetData>
  <pageMargins left="0.7" right="0.7" top="0.75" bottom="0.75" header="0.3" footer="0.3"/>
  <pageSetup scale="81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70"/>
  <sheetViews>
    <sheetView tabSelected="1" workbookViewId="0">
      <selection activeCell="F46" sqref="F46"/>
    </sheetView>
  </sheetViews>
  <sheetFormatPr defaultRowHeight="15" x14ac:dyDescent="0.25"/>
  <cols>
    <col min="2" max="2" width="11.28515625" customWidth="1"/>
    <col min="5" max="5" width="31.7109375" customWidth="1"/>
    <col min="10" max="10" width="13.85546875" customWidth="1"/>
    <col min="11" max="11" width="11.42578125" customWidth="1"/>
    <col min="14" max="14" width="11.140625" bestFit="1" customWidth="1"/>
    <col min="19" max="19" width="9.7109375" customWidth="1"/>
  </cols>
  <sheetData>
    <row r="1" spans="2:19" ht="23.25" x14ac:dyDescent="0.35">
      <c r="Q1" s="144"/>
      <c r="R1" s="145" t="s">
        <v>42</v>
      </c>
      <c r="S1" s="145"/>
    </row>
    <row r="2" spans="2:19" ht="24" thickBot="1" x14ac:dyDescent="0.4">
      <c r="M2" s="144" t="s">
        <v>41</v>
      </c>
      <c r="Q2" s="144"/>
      <c r="R2" s="145" t="s">
        <v>43</v>
      </c>
      <c r="S2" s="145"/>
    </row>
    <row r="3" spans="2:19" ht="24" thickBot="1" x14ac:dyDescent="0.4">
      <c r="B3" s="51" t="s">
        <v>35</v>
      </c>
      <c r="C3" s="52"/>
      <c r="Q3" s="144"/>
      <c r="R3" s="145" t="s">
        <v>45</v>
      </c>
      <c r="S3" s="145"/>
    </row>
    <row r="4" spans="2:19" ht="19.5" thickBot="1" x14ac:dyDescent="0.35">
      <c r="L4" s="9" t="s">
        <v>40</v>
      </c>
      <c r="M4" s="134"/>
      <c r="N4" s="138">
        <f>SUM(N8:N19)</f>
        <v>2.9600000000000005E-2</v>
      </c>
      <c r="Q4" s="9" t="s">
        <v>46</v>
      </c>
      <c r="R4" s="134"/>
      <c r="S4" s="138">
        <f>SUM(S8:S19)</f>
        <v>5.9649999999999995E-2</v>
      </c>
    </row>
    <row r="5" spans="2:19" ht="19.5" thickBot="1" x14ac:dyDescent="0.35">
      <c r="B5" s="63" t="s">
        <v>0</v>
      </c>
      <c r="C5" s="64"/>
      <c r="D5" s="64"/>
      <c r="E5" s="64"/>
      <c r="F5" s="64"/>
      <c r="G5" s="65"/>
      <c r="H5" s="33"/>
      <c r="I5" s="33"/>
      <c r="J5" s="33"/>
      <c r="L5" s="135"/>
      <c r="M5" s="136"/>
      <c r="N5" s="137"/>
      <c r="Q5" s="135"/>
      <c r="R5" s="136"/>
      <c r="S5" s="137"/>
    </row>
    <row r="6" spans="2:19" ht="15.75" thickBot="1" x14ac:dyDescent="0.3">
      <c r="B6" s="66"/>
      <c r="C6" s="67"/>
      <c r="D6" s="67"/>
      <c r="E6" s="67"/>
      <c r="F6" s="67"/>
      <c r="G6" s="68"/>
      <c r="H6" s="106" t="s">
        <v>31</v>
      </c>
      <c r="I6" s="106" t="s">
        <v>37</v>
      </c>
      <c r="J6" s="107" t="s">
        <v>32</v>
      </c>
      <c r="L6" s="1"/>
      <c r="M6" s="2"/>
      <c r="N6" s="3"/>
      <c r="Q6" s="1"/>
      <c r="R6" s="2"/>
      <c r="S6" s="3"/>
    </row>
    <row r="7" spans="2:19" ht="15.75" thickBot="1" x14ac:dyDescent="0.3">
      <c r="B7" s="48" t="s">
        <v>1</v>
      </c>
      <c r="C7" s="49"/>
      <c r="D7" s="19" t="s">
        <v>34</v>
      </c>
      <c r="E7" s="19" t="s">
        <v>4</v>
      </c>
      <c r="F7" s="50" t="s">
        <v>5</v>
      </c>
      <c r="G7" s="50" t="s">
        <v>15</v>
      </c>
      <c r="H7" s="33"/>
      <c r="I7" s="33"/>
      <c r="J7" s="33"/>
      <c r="L7" s="1"/>
      <c r="M7" s="2"/>
      <c r="N7" s="3"/>
      <c r="Q7" s="1"/>
      <c r="R7" s="2"/>
      <c r="S7" s="3"/>
    </row>
    <row r="8" spans="2:19" ht="15.75" thickBot="1" x14ac:dyDescent="0.3">
      <c r="B8" s="80" t="s">
        <v>2</v>
      </c>
      <c r="C8" s="85">
        <v>0.2</v>
      </c>
      <c r="D8" s="75">
        <f>F8+F9</f>
        <v>0.16</v>
      </c>
      <c r="E8" s="112" t="s">
        <v>6</v>
      </c>
      <c r="F8" s="34">
        <v>0.11</v>
      </c>
      <c r="G8" s="35"/>
      <c r="H8" s="91">
        <f>'Q2 16'!I7</f>
        <v>0.13</v>
      </c>
      <c r="I8" s="123">
        <f>F8</f>
        <v>0.11</v>
      </c>
      <c r="J8" s="96">
        <f>I8-H8</f>
        <v>-2.0000000000000004E-2</v>
      </c>
      <c r="L8" s="132">
        <v>0.05</v>
      </c>
      <c r="M8" s="2"/>
      <c r="N8" s="146">
        <f>L8*F8</f>
        <v>5.5000000000000005E-3</v>
      </c>
      <c r="Q8" s="132">
        <v>0.15</v>
      </c>
      <c r="R8" s="2"/>
      <c r="S8" s="146">
        <f>Q8*F8</f>
        <v>1.6500000000000001E-2</v>
      </c>
    </row>
    <row r="9" spans="2:19" ht="15.75" thickBot="1" x14ac:dyDescent="0.3">
      <c r="B9" s="81"/>
      <c r="C9" s="77"/>
      <c r="D9" s="88"/>
      <c r="E9" s="113" t="s">
        <v>7</v>
      </c>
      <c r="F9" s="39">
        <v>0.05</v>
      </c>
      <c r="G9" s="38"/>
      <c r="H9" s="91">
        <f>'Q2 16'!I8</f>
        <v>0.05</v>
      </c>
      <c r="I9" s="123">
        <f>F9</f>
        <v>0.05</v>
      </c>
      <c r="J9" s="96">
        <f t="shared" ref="J9:J18" si="0">I9-H9</f>
        <v>0</v>
      </c>
      <c r="L9" s="132">
        <v>0.03</v>
      </c>
      <c r="M9" s="2"/>
      <c r="N9" s="146">
        <f t="shared" ref="N9:N17" si="1">L9*F9</f>
        <v>1.5E-3</v>
      </c>
      <c r="Q9" s="132">
        <v>0.1</v>
      </c>
      <c r="R9" s="2"/>
      <c r="S9" s="146">
        <f t="shared" ref="S9:S17" si="2">Q9*F9</f>
        <v>5.000000000000001E-3</v>
      </c>
    </row>
    <row r="10" spans="2:19" ht="15.75" thickBot="1" x14ac:dyDescent="0.3">
      <c r="B10" s="80" t="s">
        <v>3</v>
      </c>
      <c r="C10" s="86">
        <v>1</v>
      </c>
      <c r="D10" s="75">
        <f>SUM(F10:F13)</f>
        <v>0.51</v>
      </c>
      <c r="E10" s="114" t="s">
        <v>8</v>
      </c>
      <c r="F10" s="34">
        <v>0.37</v>
      </c>
      <c r="G10" s="35"/>
      <c r="H10" s="91">
        <f>'Q2 16'!I9</f>
        <v>0.37</v>
      </c>
      <c r="I10" s="123">
        <f t="shared" ref="I10:I17" si="3">F10</f>
        <v>0.37</v>
      </c>
      <c r="J10" s="96">
        <f t="shared" si="0"/>
        <v>0</v>
      </c>
      <c r="L10" s="132">
        <v>0.03</v>
      </c>
      <c r="M10" s="2"/>
      <c r="N10" s="146">
        <f t="shared" si="1"/>
        <v>1.1099999999999999E-2</v>
      </c>
      <c r="Q10" s="132">
        <v>5.5E-2</v>
      </c>
      <c r="R10" s="2"/>
      <c r="S10" s="146">
        <f t="shared" si="2"/>
        <v>2.035E-2</v>
      </c>
    </row>
    <row r="11" spans="2:19" ht="15.75" thickBot="1" x14ac:dyDescent="0.3">
      <c r="B11" s="82"/>
      <c r="C11" s="79"/>
      <c r="D11" s="89"/>
      <c r="E11" s="115" t="s">
        <v>36</v>
      </c>
      <c r="F11" s="44">
        <v>0</v>
      </c>
      <c r="G11" s="43"/>
      <c r="H11" s="91">
        <f>'Q2 16'!I10</f>
        <v>0.08</v>
      </c>
      <c r="I11" s="123">
        <f t="shared" si="3"/>
        <v>0</v>
      </c>
      <c r="J11" s="96">
        <f t="shared" si="0"/>
        <v>-0.08</v>
      </c>
      <c r="L11" s="1"/>
      <c r="M11" s="2"/>
      <c r="N11" s="146">
        <f t="shared" si="1"/>
        <v>0</v>
      </c>
      <c r="Q11" s="1"/>
      <c r="R11" s="2"/>
      <c r="S11" s="146">
        <f t="shared" si="2"/>
        <v>0</v>
      </c>
    </row>
    <row r="12" spans="2:19" ht="15.75" thickBot="1" x14ac:dyDescent="0.3">
      <c r="B12" s="82"/>
      <c r="C12" s="79"/>
      <c r="D12" s="89"/>
      <c r="E12" s="129" t="s">
        <v>38</v>
      </c>
      <c r="F12" s="130">
        <v>0.05</v>
      </c>
      <c r="G12" s="43"/>
      <c r="H12" s="91">
        <v>0</v>
      </c>
      <c r="I12" s="123">
        <f t="shared" si="3"/>
        <v>0.05</v>
      </c>
      <c r="J12" s="91">
        <f t="shared" si="0"/>
        <v>0.05</v>
      </c>
      <c r="L12" s="132">
        <v>0.04</v>
      </c>
      <c r="M12" s="2"/>
      <c r="N12" s="146">
        <f t="shared" si="1"/>
        <v>2E-3</v>
      </c>
      <c r="Q12" s="132">
        <v>0.02</v>
      </c>
      <c r="R12" s="2"/>
      <c r="S12" s="146">
        <f t="shared" si="2"/>
        <v>1E-3</v>
      </c>
    </row>
    <row r="13" spans="2:19" ht="15.75" thickBot="1" x14ac:dyDescent="0.3">
      <c r="B13" s="81"/>
      <c r="C13" s="78"/>
      <c r="D13" s="88"/>
      <c r="E13" s="116" t="s">
        <v>20</v>
      </c>
      <c r="F13" s="37">
        <v>0.09</v>
      </c>
      <c r="G13" s="38"/>
      <c r="H13" s="91">
        <f>'Q2 16'!I11</f>
        <v>0.1</v>
      </c>
      <c r="I13" s="123">
        <f t="shared" si="3"/>
        <v>0.09</v>
      </c>
      <c r="J13" s="96">
        <f t="shared" si="0"/>
        <v>-1.0000000000000009E-2</v>
      </c>
      <c r="L13" s="132">
        <v>0.03</v>
      </c>
      <c r="M13" s="2"/>
      <c r="N13" s="146">
        <f t="shared" si="1"/>
        <v>2.6999999999999997E-3</v>
      </c>
      <c r="Q13" s="132">
        <v>0.1</v>
      </c>
      <c r="R13" s="2"/>
      <c r="S13" s="146">
        <f t="shared" si="2"/>
        <v>8.9999999999999993E-3</v>
      </c>
    </row>
    <row r="14" spans="2:19" ht="15.75" thickBot="1" x14ac:dyDescent="0.3">
      <c r="B14" s="80" t="s">
        <v>10</v>
      </c>
      <c r="C14" s="86">
        <v>0.15</v>
      </c>
      <c r="D14" s="75">
        <f>SUM(F14:F17)</f>
        <v>0.13</v>
      </c>
      <c r="E14" s="117" t="s">
        <v>33</v>
      </c>
      <c r="F14" s="45">
        <v>0</v>
      </c>
      <c r="G14" s="35"/>
      <c r="H14" s="91">
        <f>'Q2 16'!I12</f>
        <v>0</v>
      </c>
      <c r="I14" s="123">
        <f t="shared" si="3"/>
        <v>0</v>
      </c>
      <c r="J14" s="96">
        <f t="shared" si="0"/>
        <v>0</v>
      </c>
      <c r="L14" s="1"/>
      <c r="M14" s="2"/>
      <c r="N14" s="146">
        <f t="shared" si="1"/>
        <v>0</v>
      </c>
      <c r="Q14" s="1"/>
      <c r="R14" s="2"/>
      <c r="S14" s="146">
        <f t="shared" si="2"/>
        <v>0</v>
      </c>
    </row>
    <row r="15" spans="2:19" ht="15.75" thickBot="1" x14ac:dyDescent="0.3">
      <c r="B15" s="82"/>
      <c r="C15" s="79"/>
      <c r="D15" s="97"/>
      <c r="E15" s="115" t="s">
        <v>18</v>
      </c>
      <c r="F15" s="44">
        <v>7.0000000000000007E-2</v>
      </c>
      <c r="G15" s="43"/>
      <c r="H15" s="91">
        <f>'Q2 16'!I13</f>
        <v>7.0000000000000007E-2</v>
      </c>
      <c r="I15" s="123">
        <f t="shared" si="3"/>
        <v>7.0000000000000007E-2</v>
      </c>
      <c r="J15" s="96">
        <f t="shared" si="0"/>
        <v>0</v>
      </c>
      <c r="L15" s="132">
        <v>0.02</v>
      </c>
      <c r="M15" s="2"/>
      <c r="N15" s="146">
        <f t="shared" si="1"/>
        <v>1.4000000000000002E-3</v>
      </c>
      <c r="Q15" s="132">
        <v>0.02</v>
      </c>
      <c r="R15" s="2"/>
      <c r="S15" s="146">
        <f t="shared" si="2"/>
        <v>1.4000000000000002E-3</v>
      </c>
    </row>
    <row r="16" spans="2:19" ht="15.75" thickBot="1" x14ac:dyDescent="0.3">
      <c r="B16" s="82"/>
      <c r="C16" s="79"/>
      <c r="D16" s="98"/>
      <c r="E16" s="118" t="s">
        <v>23</v>
      </c>
      <c r="F16" s="44">
        <v>0.03</v>
      </c>
      <c r="G16" s="43"/>
      <c r="H16" s="91">
        <f>'Q2 16'!I14</f>
        <v>0.03</v>
      </c>
      <c r="I16" s="123">
        <f t="shared" si="3"/>
        <v>0.03</v>
      </c>
      <c r="J16" s="96">
        <f t="shared" si="0"/>
        <v>0</v>
      </c>
      <c r="L16" s="132">
        <v>0.05</v>
      </c>
      <c r="M16" s="2"/>
      <c r="N16" s="146">
        <f t="shared" si="1"/>
        <v>1.5E-3</v>
      </c>
      <c r="Q16" s="132">
        <v>0.04</v>
      </c>
      <c r="R16" s="2"/>
      <c r="S16" s="146">
        <f t="shared" si="2"/>
        <v>1.1999999999999999E-3</v>
      </c>
    </row>
    <row r="17" spans="2:19" ht="15.75" thickBot="1" x14ac:dyDescent="0.3">
      <c r="B17" s="81"/>
      <c r="C17" s="78"/>
      <c r="D17" s="99"/>
      <c r="E17" s="119" t="s">
        <v>39</v>
      </c>
      <c r="F17" s="39">
        <v>0.03</v>
      </c>
      <c r="G17" s="38"/>
      <c r="H17" s="91">
        <f>'Q2 16'!I15</f>
        <v>0</v>
      </c>
      <c r="I17" s="123">
        <f t="shared" si="3"/>
        <v>0.03</v>
      </c>
      <c r="J17" s="96">
        <f t="shared" si="0"/>
        <v>0.03</v>
      </c>
      <c r="L17" s="132">
        <v>0.05</v>
      </c>
      <c r="M17" s="2"/>
      <c r="N17" s="146">
        <f t="shared" si="1"/>
        <v>1.5E-3</v>
      </c>
      <c r="Q17" s="132">
        <v>0.04</v>
      </c>
      <c r="R17" s="2"/>
      <c r="S17" s="146">
        <f t="shared" si="2"/>
        <v>1.1999999999999999E-3</v>
      </c>
    </row>
    <row r="18" spans="2:19" ht="15.75" thickBot="1" x14ac:dyDescent="0.3">
      <c r="B18" s="80" t="s">
        <v>11</v>
      </c>
      <c r="C18" s="86">
        <v>1</v>
      </c>
      <c r="D18" s="90">
        <f>100%-D14-D10-D8</f>
        <v>0.19999999999999998</v>
      </c>
      <c r="E18" s="47"/>
      <c r="F18" s="46"/>
      <c r="G18" s="105">
        <v>0.08</v>
      </c>
      <c r="H18" s="127">
        <f>'Q2 16'!I16</f>
        <v>0.17</v>
      </c>
      <c r="I18" s="127">
        <f>D18</f>
        <v>0.19999999999999998</v>
      </c>
      <c r="J18" s="75">
        <f t="shared" si="0"/>
        <v>2.9999999999999971E-2</v>
      </c>
      <c r="L18" s="133">
        <v>-4.0000000000000001E-3</v>
      </c>
      <c r="M18" s="7"/>
      <c r="N18" s="147">
        <f>I18*L18</f>
        <v>-7.9999999999999993E-4</v>
      </c>
      <c r="Q18" s="1"/>
      <c r="R18" s="2"/>
      <c r="S18" s="146"/>
    </row>
    <row r="19" spans="2:19" ht="15.75" thickBot="1" x14ac:dyDescent="0.3">
      <c r="B19" s="89"/>
      <c r="C19" s="139"/>
      <c r="D19" s="140"/>
      <c r="E19" s="43"/>
      <c r="F19" s="43"/>
      <c r="G19" s="141"/>
      <c r="H19" s="141"/>
      <c r="I19" s="141"/>
      <c r="J19" s="141"/>
      <c r="K19" s="80" t="s">
        <v>44</v>
      </c>
      <c r="L19" s="142">
        <v>0.04</v>
      </c>
      <c r="M19" s="32"/>
      <c r="N19" s="148">
        <f>L19*G18</f>
        <v>3.2000000000000002E-3</v>
      </c>
      <c r="Q19" s="143">
        <v>0.05</v>
      </c>
      <c r="R19" s="32"/>
      <c r="S19" s="148">
        <f>Q19*G18</f>
        <v>4.0000000000000001E-3</v>
      </c>
    </row>
    <row r="20" spans="2:19" x14ac:dyDescent="0.25">
      <c r="H20" s="94"/>
      <c r="I20" s="94"/>
      <c r="J20" s="94"/>
      <c r="N20" s="131"/>
      <c r="S20" s="131"/>
    </row>
    <row r="21" spans="2:19" ht="15.75" thickBot="1" x14ac:dyDescent="0.3">
      <c r="H21" s="94"/>
      <c r="I21" s="94"/>
      <c r="J21" s="94"/>
      <c r="N21" s="131"/>
      <c r="S21" s="131"/>
    </row>
    <row r="22" spans="2:19" ht="19.5" thickBot="1" x14ac:dyDescent="0.35">
      <c r="B22" s="57" t="s">
        <v>12</v>
      </c>
      <c r="C22" s="58"/>
      <c r="D22" s="58"/>
      <c r="E22" s="58"/>
      <c r="F22" s="58"/>
      <c r="G22" s="59"/>
      <c r="H22" s="95"/>
      <c r="I22" s="95"/>
      <c r="J22" s="95"/>
      <c r="L22" s="9" t="s">
        <v>40</v>
      </c>
      <c r="M22" s="134"/>
      <c r="N22" s="138">
        <f>SUM(N25:N38)</f>
        <v>3.1380000000000005E-2</v>
      </c>
      <c r="Q22" s="9" t="str">
        <f>Q4</f>
        <v>Risk=</v>
      </c>
      <c r="R22" s="134"/>
      <c r="S22" s="138">
        <f>SUM(S25:S39)</f>
        <v>7.0700000000000013E-2</v>
      </c>
    </row>
    <row r="23" spans="2:19" ht="19.5" thickBot="1" x14ac:dyDescent="0.35">
      <c r="B23" s="60"/>
      <c r="C23" s="61"/>
      <c r="D23" s="61"/>
      <c r="E23" s="61"/>
      <c r="F23" s="61"/>
      <c r="G23" s="62"/>
      <c r="H23" s="108" t="str">
        <f>H6</f>
        <v>Q2</v>
      </c>
      <c r="I23" s="106" t="str">
        <f>I6</f>
        <v>Q3</v>
      </c>
      <c r="J23" s="109" t="str">
        <f>J6</f>
        <v xml:space="preserve">Delta (Q3-Q2) </v>
      </c>
      <c r="L23" s="135"/>
      <c r="M23" s="136"/>
      <c r="N23" s="149"/>
      <c r="Q23" s="135"/>
      <c r="R23" s="136"/>
      <c r="S23" s="137"/>
    </row>
    <row r="24" spans="2:19" ht="15.75" thickBot="1" x14ac:dyDescent="0.3">
      <c r="B24" s="48" t="s">
        <v>1</v>
      </c>
      <c r="C24" s="49"/>
      <c r="D24" s="19" t="str">
        <f>D7</f>
        <v>Q3 2016</v>
      </c>
      <c r="E24" s="19" t="s">
        <v>4</v>
      </c>
      <c r="F24" s="50" t="s">
        <v>5</v>
      </c>
      <c r="G24" s="50" t="s">
        <v>15</v>
      </c>
      <c r="H24" s="95"/>
      <c r="I24" s="33"/>
      <c r="J24" s="95"/>
      <c r="L24" s="1"/>
      <c r="M24" s="2"/>
      <c r="N24" s="146"/>
      <c r="Q24" s="1"/>
      <c r="R24" s="2"/>
      <c r="S24" s="146"/>
    </row>
    <row r="25" spans="2:19" ht="15.75" thickBot="1" x14ac:dyDescent="0.3">
      <c r="B25" s="23" t="s">
        <v>2</v>
      </c>
      <c r="C25" s="85">
        <v>0.3</v>
      </c>
      <c r="D25" s="75">
        <f>F25+F27+F26</f>
        <v>0.22999999999999998</v>
      </c>
      <c r="E25" s="20" t="s">
        <v>6</v>
      </c>
      <c r="F25" s="34">
        <v>0.18</v>
      </c>
      <c r="G25" s="41"/>
      <c r="H25" s="91">
        <v>0.22</v>
      </c>
      <c r="I25" s="91">
        <f>F25</f>
        <v>0.18</v>
      </c>
      <c r="J25" s="96">
        <f t="shared" ref="J25:J38" si="4">I25-H25</f>
        <v>-4.0000000000000008E-2</v>
      </c>
      <c r="L25" s="132">
        <f>L8</f>
        <v>0.05</v>
      </c>
      <c r="M25" s="2"/>
      <c r="N25" s="146">
        <f t="shared" ref="N25:N37" si="5">L25*F25</f>
        <v>8.9999999999999993E-3</v>
      </c>
      <c r="Q25" s="132">
        <f>Q8</f>
        <v>0.15</v>
      </c>
      <c r="R25" s="2"/>
      <c r="S25" s="146">
        <f>Q25*F25</f>
        <v>2.7E-2</v>
      </c>
    </row>
    <row r="26" spans="2:19" ht="15.75" thickBot="1" x14ac:dyDescent="0.3">
      <c r="B26" s="53"/>
      <c r="C26" s="76"/>
      <c r="D26" s="103"/>
      <c r="E26" s="29" t="s">
        <v>22</v>
      </c>
      <c r="F26" s="44">
        <v>0.02</v>
      </c>
      <c r="G26" s="42"/>
      <c r="H26" s="100">
        <v>0.03</v>
      </c>
      <c r="I26" s="91">
        <f t="shared" ref="I26:I37" si="6">F26</f>
        <v>0.02</v>
      </c>
      <c r="J26" s="96">
        <f t="shared" si="4"/>
        <v>-9.9999999999999985E-3</v>
      </c>
      <c r="L26" s="132">
        <v>0.06</v>
      </c>
      <c r="M26" s="2"/>
      <c r="N26" s="146">
        <f t="shared" si="5"/>
        <v>1.1999999999999999E-3</v>
      </c>
      <c r="Q26" s="132">
        <v>0.2</v>
      </c>
      <c r="R26" s="2"/>
      <c r="S26" s="146">
        <f t="shared" ref="S26:S37" si="7">Q26*F26</f>
        <v>4.0000000000000001E-3</v>
      </c>
    </row>
    <row r="27" spans="2:19" ht="15.75" thickBot="1" x14ac:dyDescent="0.3">
      <c r="B27" s="54"/>
      <c r="C27" s="77"/>
      <c r="D27" s="81"/>
      <c r="E27" s="22" t="s">
        <v>7</v>
      </c>
      <c r="F27" s="37">
        <v>0.03</v>
      </c>
      <c r="G27" s="36"/>
      <c r="H27" s="92">
        <v>0.05</v>
      </c>
      <c r="I27" s="91">
        <f t="shared" si="6"/>
        <v>0.03</v>
      </c>
      <c r="J27" s="96">
        <f t="shared" si="4"/>
        <v>-2.0000000000000004E-2</v>
      </c>
      <c r="L27" s="132">
        <f>L9</f>
        <v>0.03</v>
      </c>
      <c r="M27" s="2"/>
      <c r="N27" s="146">
        <f t="shared" si="5"/>
        <v>8.9999999999999998E-4</v>
      </c>
      <c r="Q27" s="132">
        <f>Q9</f>
        <v>0.1</v>
      </c>
      <c r="R27" s="2"/>
      <c r="S27" s="146">
        <f t="shared" si="7"/>
        <v>3.0000000000000001E-3</v>
      </c>
    </row>
    <row r="28" spans="2:19" ht="15.75" thickBot="1" x14ac:dyDescent="0.3">
      <c r="B28" s="23" t="s">
        <v>3</v>
      </c>
      <c r="C28" s="86">
        <v>0.8</v>
      </c>
      <c r="D28" s="75">
        <f>SUM(F28:F31)</f>
        <v>0.41</v>
      </c>
      <c r="E28" s="21" t="s">
        <v>8</v>
      </c>
      <c r="F28" s="34">
        <v>0.3</v>
      </c>
      <c r="G28" s="41"/>
      <c r="H28" s="91">
        <v>0.3</v>
      </c>
      <c r="I28" s="91">
        <f t="shared" si="6"/>
        <v>0.3</v>
      </c>
      <c r="J28" s="96">
        <f t="shared" si="4"/>
        <v>0</v>
      </c>
      <c r="L28" s="132">
        <f>L10</f>
        <v>0.03</v>
      </c>
      <c r="M28" s="2"/>
      <c r="N28" s="146">
        <f t="shared" si="5"/>
        <v>8.9999999999999993E-3</v>
      </c>
      <c r="Q28" s="132">
        <f>Q10</f>
        <v>5.5E-2</v>
      </c>
      <c r="R28" s="2"/>
      <c r="S28" s="146">
        <f t="shared" si="7"/>
        <v>1.6500000000000001E-2</v>
      </c>
    </row>
    <row r="29" spans="2:19" ht="15.75" thickBot="1" x14ac:dyDescent="0.3">
      <c r="B29" s="53"/>
      <c r="C29" s="79"/>
      <c r="D29" s="104"/>
      <c r="E29" s="115" t="s">
        <v>36</v>
      </c>
      <c r="F29" s="44">
        <v>0</v>
      </c>
      <c r="G29" s="42"/>
      <c r="H29" s="100">
        <v>7.0000000000000007E-2</v>
      </c>
      <c r="I29" s="91">
        <f t="shared" si="6"/>
        <v>0</v>
      </c>
      <c r="J29" s="96">
        <f t="shared" si="4"/>
        <v>-7.0000000000000007E-2</v>
      </c>
      <c r="L29" s="1"/>
      <c r="M29" s="2"/>
      <c r="N29" s="146">
        <f t="shared" si="5"/>
        <v>0</v>
      </c>
      <c r="Q29" s="1"/>
      <c r="R29" s="2"/>
      <c r="S29" s="146">
        <f t="shared" si="7"/>
        <v>0</v>
      </c>
    </row>
    <row r="30" spans="2:19" ht="15.75" thickBot="1" x14ac:dyDescent="0.3">
      <c r="B30" s="53"/>
      <c r="C30" s="79"/>
      <c r="D30" s="82"/>
      <c r="E30" s="129" t="s">
        <v>38</v>
      </c>
      <c r="F30" s="130">
        <v>0.04</v>
      </c>
      <c r="G30" s="42"/>
      <c r="H30" s="92">
        <v>0</v>
      </c>
      <c r="I30" s="91">
        <f t="shared" si="6"/>
        <v>0.04</v>
      </c>
      <c r="J30" s="75">
        <f t="shared" si="4"/>
        <v>0.04</v>
      </c>
      <c r="L30" s="132">
        <f>L12</f>
        <v>0.04</v>
      </c>
      <c r="M30" s="2"/>
      <c r="N30" s="146">
        <f t="shared" si="5"/>
        <v>1.6000000000000001E-3</v>
      </c>
      <c r="Q30" s="132">
        <f>Q12</f>
        <v>0.02</v>
      </c>
      <c r="R30" s="2"/>
      <c r="S30" s="146">
        <f t="shared" si="7"/>
        <v>8.0000000000000004E-4</v>
      </c>
    </row>
    <row r="31" spans="2:19" ht="15.75" thickBot="1" x14ac:dyDescent="0.3">
      <c r="B31" s="54"/>
      <c r="C31" s="78"/>
      <c r="D31" s="81"/>
      <c r="E31" s="7" t="s">
        <v>20</v>
      </c>
      <c r="F31" s="37">
        <v>7.0000000000000007E-2</v>
      </c>
      <c r="G31" s="36"/>
      <c r="H31" s="93">
        <v>0.05</v>
      </c>
      <c r="I31" s="91">
        <f t="shared" si="6"/>
        <v>7.0000000000000007E-2</v>
      </c>
      <c r="J31" s="75">
        <f t="shared" si="4"/>
        <v>2.0000000000000004E-2</v>
      </c>
      <c r="L31" s="132">
        <f>L13</f>
        <v>0.03</v>
      </c>
      <c r="M31" s="2"/>
      <c r="N31" s="146">
        <f t="shared" si="5"/>
        <v>2.1000000000000003E-3</v>
      </c>
      <c r="Q31" s="132">
        <f>Q13</f>
        <v>0.1</v>
      </c>
      <c r="R31" s="2"/>
      <c r="S31" s="146">
        <f t="shared" si="7"/>
        <v>7.000000000000001E-3</v>
      </c>
    </row>
    <row r="32" spans="2:19" ht="15.75" thickBot="1" x14ac:dyDescent="0.3">
      <c r="B32" s="56" t="s">
        <v>10</v>
      </c>
      <c r="C32" s="86">
        <v>0.25</v>
      </c>
      <c r="D32" s="75">
        <f>SUM(F32:F36)</f>
        <v>0.18000000000000002</v>
      </c>
      <c r="E32" s="117" t="s">
        <v>33</v>
      </c>
      <c r="F32" s="45">
        <v>0</v>
      </c>
      <c r="G32" s="41"/>
      <c r="H32" s="92">
        <v>0</v>
      </c>
      <c r="I32" s="91">
        <f t="shared" si="6"/>
        <v>0</v>
      </c>
      <c r="J32" s="96">
        <f t="shared" si="4"/>
        <v>0</v>
      </c>
      <c r="L32" s="1"/>
      <c r="M32" s="2"/>
      <c r="N32" s="146">
        <f t="shared" si="5"/>
        <v>0</v>
      </c>
      <c r="Q32" s="1"/>
      <c r="R32" s="2"/>
      <c r="S32" s="146">
        <f t="shared" si="7"/>
        <v>0</v>
      </c>
    </row>
    <row r="33" spans="2:19" ht="15.75" thickBot="1" x14ac:dyDescent="0.3">
      <c r="B33" s="83"/>
      <c r="C33" s="84"/>
      <c r="D33" s="82"/>
      <c r="E33" s="29" t="s">
        <v>18</v>
      </c>
      <c r="F33" s="44">
        <v>0.09</v>
      </c>
      <c r="G33" s="42"/>
      <c r="H33" s="100">
        <v>0.03</v>
      </c>
      <c r="I33" s="91">
        <f t="shared" si="6"/>
        <v>0.09</v>
      </c>
      <c r="J33" s="75">
        <f t="shared" si="4"/>
        <v>0.06</v>
      </c>
      <c r="L33" s="132">
        <f>L15</f>
        <v>0.02</v>
      </c>
      <c r="M33" s="2"/>
      <c r="N33" s="146">
        <f t="shared" si="5"/>
        <v>1.8E-3</v>
      </c>
      <c r="Q33" s="132">
        <f>Q15</f>
        <v>0.02</v>
      </c>
      <c r="R33" s="2"/>
      <c r="S33" s="146">
        <f t="shared" si="7"/>
        <v>1.8E-3</v>
      </c>
    </row>
    <row r="34" spans="2:19" ht="15.75" thickBot="1" x14ac:dyDescent="0.3">
      <c r="B34" s="53"/>
      <c r="C34" s="79"/>
      <c r="D34" s="98"/>
      <c r="E34" s="30" t="s">
        <v>23</v>
      </c>
      <c r="F34" s="44">
        <v>0.05</v>
      </c>
      <c r="G34" s="42"/>
      <c r="H34" s="100">
        <v>0.05</v>
      </c>
      <c r="I34" s="91">
        <f t="shared" si="6"/>
        <v>0.05</v>
      </c>
      <c r="J34" s="96">
        <f t="shared" si="4"/>
        <v>0</v>
      </c>
      <c r="L34" s="132">
        <f>L16</f>
        <v>0.05</v>
      </c>
      <c r="M34" s="2"/>
      <c r="N34" s="146">
        <f t="shared" si="5"/>
        <v>2.5000000000000005E-3</v>
      </c>
      <c r="Q34" s="132">
        <f>Q16</f>
        <v>0.04</v>
      </c>
      <c r="R34" s="2"/>
      <c r="S34" s="146">
        <f t="shared" si="7"/>
        <v>2E-3</v>
      </c>
    </row>
    <row r="35" spans="2:19" ht="15.75" thickBot="1" x14ac:dyDescent="0.3">
      <c r="B35" s="53"/>
      <c r="C35" s="79"/>
      <c r="D35" s="98"/>
      <c r="E35" s="30" t="s">
        <v>24</v>
      </c>
      <c r="F35" s="44">
        <v>0</v>
      </c>
      <c r="G35" s="42"/>
      <c r="H35" s="100">
        <v>0</v>
      </c>
      <c r="I35" s="91">
        <f t="shared" si="6"/>
        <v>0</v>
      </c>
      <c r="J35" s="96">
        <f t="shared" si="4"/>
        <v>0</v>
      </c>
      <c r="L35" s="1"/>
      <c r="M35" s="2"/>
      <c r="N35" s="146">
        <f t="shared" si="5"/>
        <v>0</v>
      </c>
      <c r="Q35" s="1"/>
      <c r="R35" s="2"/>
      <c r="S35" s="146">
        <f t="shared" si="7"/>
        <v>0</v>
      </c>
    </row>
    <row r="36" spans="2:19" ht="15.75" thickBot="1" x14ac:dyDescent="0.3">
      <c r="B36" s="54"/>
      <c r="C36" s="78"/>
      <c r="D36" s="81"/>
      <c r="E36" s="31" t="s">
        <v>13</v>
      </c>
      <c r="F36" s="39">
        <v>0.04</v>
      </c>
      <c r="G36" s="36"/>
      <c r="H36" s="92">
        <v>0.04</v>
      </c>
      <c r="I36" s="91">
        <f t="shared" si="6"/>
        <v>0.04</v>
      </c>
      <c r="J36" s="96">
        <f t="shared" si="4"/>
        <v>0</v>
      </c>
      <c r="L36" s="132">
        <v>0.05</v>
      </c>
      <c r="M36" s="2"/>
      <c r="N36" s="146">
        <f t="shared" si="5"/>
        <v>2E-3</v>
      </c>
      <c r="Q36" s="132">
        <v>0.05</v>
      </c>
      <c r="R36" s="2"/>
      <c r="S36" s="146">
        <f t="shared" si="7"/>
        <v>2E-3</v>
      </c>
    </row>
    <row r="37" spans="2:19" ht="15.75" thickBot="1" x14ac:dyDescent="0.3">
      <c r="B37" s="54"/>
      <c r="C37" s="78"/>
      <c r="D37" s="99"/>
      <c r="E37" s="119" t="s">
        <v>39</v>
      </c>
      <c r="F37" s="37">
        <v>0.04</v>
      </c>
      <c r="G37" s="36"/>
      <c r="H37" s="92">
        <v>0</v>
      </c>
      <c r="I37" s="91">
        <f t="shared" si="6"/>
        <v>0.04</v>
      </c>
      <c r="J37" s="75">
        <f t="shared" si="4"/>
        <v>0.04</v>
      </c>
      <c r="L37" s="132">
        <f>L17</f>
        <v>0.05</v>
      </c>
      <c r="M37" s="2"/>
      <c r="N37" s="146">
        <f t="shared" si="5"/>
        <v>2E-3</v>
      </c>
      <c r="Q37" s="132">
        <f>Q17</f>
        <v>0.04</v>
      </c>
      <c r="R37" s="2"/>
      <c r="S37" s="146">
        <f t="shared" si="7"/>
        <v>1.6000000000000001E-3</v>
      </c>
    </row>
    <row r="38" spans="2:19" ht="15.75" thickBot="1" x14ac:dyDescent="0.3">
      <c r="B38" s="55" t="s">
        <v>11</v>
      </c>
      <c r="C38" s="86">
        <v>1</v>
      </c>
      <c r="D38" s="87">
        <f>100%-D32-D28-D25</f>
        <v>0.18</v>
      </c>
      <c r="E38" s="7"/>
      <c r="F38" s="40"/>
      <c r="G38" s="75">
        <v>0.1</v>
      </c>
      <c r="H38" s="75">
        <v>0.16</v>
      </c>
      <c r="I38" s="75">
        <f>D38</f>
        <v>0.18</v>
      </c>
      <c r="J38" s="75">
        <f t="shared" si="4"/>
        <v>1.999999999999999E-2</v>
      </c>
      <c r="L38" s="133">
        <f>L18</f>
        <v>-4.0000000000000001E-3</v>
      </c>
      <c r="M38" s="7"/>
      <c r="N38" s="147">
        <f>L38*D38</f>
        <v>-7.1999999999999994E-4</v>
      </c>
      <c r="Q38" s="6"/>
      <c r="R38" s="7"/>
      <c r="S38" s="147" t="s">
        <v>47</v>
      </c>
    </row>
    <row r="39" spans="2:19" ht="15.75" thickBot="1" x14ac:dyDescent="0.3">
      <c r="H39" s="94"/>
      <c r="I39" s="94"/>
      <c r="J39" s="94"/>
      <c r="N39" s="131"/>
      <c r="Q39" s="143">
        <f>Q19</f>
        <v>0.05</v>
      </c>
      <c r="R39" s="32"/>
      <c r="S39" s="148">
        <f>Q39*G38</f>
        <v>5.000000000000001E-3</v>
      </c>
    </row>
    <row r="40" spans="2:19" x14ac:dyDescent="0.25">
      <c r="H40" s="94"/>
      <c r="I40" s="94"/>
      <c r="J40" s="94"/>
      <c r="N40" s="131"/>
      <c r="S40" s="131"/>
    </row>
    <row r="41" spans="2:19" ht="15.75" thickBot="1" x14ac:dyDescent="0.3">
      <c r="H41" s="94"/>
      <c r="I41" s="94"/>
      <c r="J41" s="94"/>
      <c r="N41" s="131"/>
      <c r="S41" s="131"/>
    </row>
    <row r="42" spans="2:19" ht="19.5" thickBot="1" x14ac:dyDescent="0.35">
      <c r="B42" s="69" t="s">
        <v>14</v>
      </c>
      <c r="C42" s="70"/>
      <c r="D42" s="70"/>
      <c r="E42" s="70"/>
      <c r="F42" s="70"/>
      <c r="G42" s="71"/>
      <c r="H42" s="95"/>
      <c r="I42" s="95"/>
      <c r="J42" s="95"/>
      <c r="L42" s="9" t="s">
        <v>40</v>
      </c>
      <c r="M42" s="134"/>
      <c r="N42" s="138">
        <f>SUM(N45:N59)</f>
        <v>3.9580000000000004E-2</v>
      </c>
      <c r="Q42" s="9" t="str">
        <f>Q22</f>
        <v>Risk=</v>
      </c>
      <c r="R42" s="134"/>
      <c r="S42" s="138">
        <f>SUM(S45:S59)</f>
        <v>9.2600000000000016E-2</v>
      </c>
    </row>
    <row r="43" spans="2:19" ht="19.5" thickBot="1" x14ac:dyDescent="0.35">
      <c r="B43" s="72"/>
      <c r="C43" s="73"/>
      <c r="D43" s="73"/>
      <c r="E43" s="73"/>
      <c r="F43" s="73"/>
      <c r="G43" s="74"/>
      <c r="H43" s="110" t="str">
        <f>H23</f>
        <v>Q2</v>
      </c>
      <c r="I43" s="106" t="str">
        <f>I23</f>
        <v>Q3</v>
      </c>
      <c r="J43" s="111" t="str">
        <f>J23</f>
        <v xml:space="preserve">Delta (Q3-Q2) </v>
      </c>
      <c r="L43" s="135"/>
      <c r="M43" s="136"/>
      <c r="N43" s="149"/>
      <c r="Q43" s="135"/>
      <c r="R43" s="136"/>
      <c r="S43" s="137"/>
    </row>
    <row r="44" spans="2:19" ht="15.75" thickBot="1" x14ac:dyDescent="0.3">
      <c r="B44" s="48" t="s">
        <v>1</v>
      </c>
      <c r="C44" s="49"/>
      <c r="D44" s="19" t="str">
        <f>D24</f>
        <v>Q3 2016</v>
      </c>
      <c r="E44" s="19" t="s">
        <v>4</v>
      </c>
      <c r="F44" s="50" t="s">
        <v>5</v>
      </c>
      <c r="G44" s="50" t="s">
        <v>15</v>
      </c>
      <c r="H44" s="95"/>
      <c r="I44" s="95"/>
      <c r="J44" s="95"/>
      <c r="L44" s="1"/>
      <c r="M44" s="2"/>
      <c r="N44" s="146"/>
      <c r="Q44" s="1"/>
      <c r="R44" s="2"/>
      <c r="S44" s="146"/>
    </row>
    <row r="45" spans="2:19" ht="15.75" thickBot="1" x14ac:dyDescent="0.3">
      <c r="B45" s="23" t="s">
        <v>2</v>
      </c>
      <c r="C45" s="85">
        <v>0.7</v>
      </c>
      <c r="D45" s="75">
        <f>SUM(F45:F50)</f>
        <v>0.50000000000000011</v>
      </c>
      <c r="E45" s="24" t="s">
        <v>6</v>
      </c>
      <c r="F45" s="45">
        <v>0.37</v>
      </c>
      <c r="G45" s="35"/>
      <c r="H45" s="91">
        <v>0.42</v>
      </c>
      <c r="I45" s="91">
        <f>'Q2 16'!I40</f>
        <v>0.42</v>
      </c>
      <c r="J45" s="96">
        <f t="shared" ref="J45:J59" si="8">I45-H45</f>
        <v>0</v>
      </c>
      <c r="L45" s="132">
        <f>L25</f>
        <v>0.05</v>
      </c>
      <c r="M45" s="2"/>
      <c r="N45" s="146">
        <f t="shared" ref="N45:N58" si="9">L45*F45</f>
        <v>1.8499999999999999E-2</v>
      </c>
      <c r="Q45" s="132">
        <f>Q8</f>
        <v>0.15</v>
      </c>
      <c r="R45" s="2"/>
      <c r="S45" s="146">
        <f>Q45*F45</f>
        <v>5.5500000000000001E-2</v>
      </c>
    </row>
    <row r="46" spans="2:19" ht="15.75" thickBot="1" x14ac:dyDescent="0.3">
      <c r="B46" s="53"/>
      <c r="C46" s="76"/>
      <c r="D46" s="82"/>
      <c r="E46" s="25" t="s">
        <v>7</v>
      </c>
      <c r="F46" s="44">
        <v>0.03</v>
      </c>
      <c r="G46" s="43"/>
      <c r="H46" s="100">
        <v>0.06</v>
      </c>
      <c r="I46" s="91">
        <f>'Q2 16'!I41</f>
        <v>0.06</v>
      </c>
      <c r="J46" s="96">
        <f t="shared" si="8"/>
        <v>0</v>
      </c>
      <c r="L46" s="132">
        <f>L27</f>
        <v>0.03</v>
      </c>
      <c r="M46" s="2"/>
      <c r="N46" s="146">
        <f t="shared" si="9"/>
        <v>8.9999999999999998E-4</v>
      </c>
      <c r="Q46" s="132">
        <f>Q9</f>
        <v>0.1</v>
      </c>
      <c r="R46" s="2"/>
      <c r="S46" s="146">
        <f t="shared" ref="S46:S58" si="10">Q46*F46</f>
        <v>3.0000000000000001E-3</v>
      </c>
    </row>
    <row r="47" spans="2:19" ht="15.75" thickBot="1" x14ac:dyDescent="0.3">
      <c r="B47" s="53"/>
      <c r="C47" s="76"/>
      <c r="D47" s="98"/>
      <c r="E47" s="25" t="s">
        <v>22</v>
      </c>
      <c r="F47" s="44">
        <v>0.03</v>
      </c>
      <c r="G47" s="43"/>
      <c r="H47" s="100">
        <v>0.03</v>
      </c>
      <c r="I47" s="91">
        <f>'Q2 16'!I42</f>
        <v>0.04</v>
      </c>
      <c r="J47" s="96">
        <f t="shared" si="8"/>
        <v>1.0000000000000002E-2</v>
      </c>
      <c r="L47" s="132">
        <f>L26</f>
        <v>0.06</v>
      </c>
      <c r="M47" s="2"/>
      <c r="N47" s="146">
        <f t="shared" si="9"/>
        <v>1.8E-3</v>
      </c>
      <c r="Q47" s="132">
        <f>Q26</f>
        <v>0.2</v>
      </c>
      <c r="R47" s="2"/>
      <c r="S47" s="146">
        <f t="shared" si="10"/>
        <v>6.0000000000000001E-3</v>
      </c>
    </row>
    <row r="48" spans="2:19" ht="15.75" thickBot="1" x14ac:dyDescent="0.3">
      <c r="B48" s="53"/>
      <c r="C48" s="76"/>
      <c r="D48" s="98"/>
      <c r="E48" s="25" t="s">
        <v>16</v>
      </c>
      <c r="F48" s="44">
        <v>0.03</v>
      </c>
      <c r="G48" s="43"/>
      <c r="H48" s="100">
        <v>0.03</v>
      </c>
      <c r="I48" s="91">
        <f>'Q2 16'!I43</f>
        <v>0.04</v>
      </c>
      <c r="J48" s="96">
        <f t="shared" si="8"/>
        <v>1.0000000000000002E-2</v>
      </c>
      <c r="L48" s="132">
        <v>0.06</v>
      </c>
      <c r="M48" s="2"/>
      <c r="N48" s="146">
        <f t="shared" si="9"/>
        <v>1.8E-3</v>
      </c>
      <c r="Q48" s="132">
        <v>0.15</v>
      </c>
      <c r="R48" s="2"/>
      <c r="S48" s="146">
        <f t="shared" si="10"/>
        <v>4.4999999999999997E-3</v>
      </c>
    </row>
    <row r="49" spans="2:19" ht="15.75" thickBot="1" x14ac:dyDescent="0.3">
      <c r="B49" s="53"/>
      <c r="C49" s="76"/>
      <c r="D49" s="98"/>
      <c r="E49" s="25" t="s">
        <v>25</v>
      </c>
      <c r="F49" s="44">
        <v>0</v>
      </c>
      <c r="G49" s="43"/>
      <c r="H49" s="102">
        <f>'Q2 16'!I42</f>
        <v>0.04</v>
      </c>
      <c r="I49" s="91">
        <f>'Q2 16'!I44</f>
        <v>0.03</v>
      </c>
      <c r="J49" s="96">
        <f t="shared" si="8"/>
        <v>-1.0000000000000002E-2</v>
      </c>
      <c r="L49" s="1"/>
      <c r="M49" s="2"/>
      <c r="N49" s="146">
        <f t="shared" si="9"/>
        <v>0</v>
      </c>
      <c r="Q49" s="1"/>
      <c r="R49" s="2"/>
      <c r="S49" s="146">
        <f t="shared" si="10"/>
        <v>0</v>
      </c>
    </row>
    <row r="50" spans="2:19" ht="15.75" thickBot="1" x14ac:dyDescent="0.3">
      <c r="B50" s="54"/>
      <c r="C50" s="77"/>
      <c r="D50" s="81"/>
      <c r="E50" s="26" t="s">
        <v>17</v>
      </c>
      <c r="F50" s="39">
        <v>0.04</v>
      </c>
      <c r="G50" s="38"/>
      <c r="H50" s="93">
        <v>0.03</v>
      </c>
      <c r="I50" s="91">
        <f>'Q2 16'!I45</f>
        <v>0.04</v>
      </c>
      <c r="J50" s="96">
        <f t="shared" si="8"/>
        <v>1.0000000000000002E-2</v>
      </c>
      <c r="L50" s="132">
        <f>7%</f>
        <v>7.0000000000000007E-2</v>
      </c>
      <c r="M50" s="2"/>
      <c r="N50" s="146">
        <f t="shared" si="9"/>
        <v>2.8000000000000004E-3</v>
      </c>
      <c r="Q50" s="132">
        <v>0.15</v>
      </c>
      <c r="R50" s="2"/>
      <c r="S50" s="146">
        <f t="shared" si="10"/>
        <v>6.0000000000000001E-3</v>
      </c>
    </row>
    <row r="51" spans="2:19" ht="15.75" thickBot="1" x14ac:dyDescent="0.3">
      <c r="B51" s="23" t="s">
        <v>3</v>
      </c>
      <c r="C51" s="86">
        <v>0.5</v>
      </c>
      <c r="D51" s="75">
        <f>F51+F52</f>
        <v>0.18</v>
      </c>
      <c r="E51" s="27" t="s">
        <v>8</v>
      </c>
      <c r="F51" s="45">
        <v>0.18</v>
      </c>
      <c r="G51" s="35"/>
      <c r="H51" s="91">
        <f>'Q2 16'!I46</f>
        <v>0.15</v>
      </c>
      <c r="I51" s="91">
        <f>F51</f>
        <v>0.18</v>
      </c>
      <c r="J51" s="96">
        <f t="shared" si="8"/>
        <v>0.03</v>
      </c>
      <c r="L51" s="132">
        <f>L28</f>
        <v>0.03</v>
      </c>
      <c r="M51" s="2"/>
      <c r="N51" s="146">
        <f t="shared" si="9"/>
        <v>5.3999999999999994E-3</v>
      </c>
      <c r="Q51" s="132">
        <f>Q10</f>
        <v>5.5E-2</v>
      </c>
      <c r="R51" s="2"/>
      <c r="S51" s="146">
        <f t="shared" si="10"/>
        <v>9.8999999999999991E-3</v>
      </c>
    </row>
    <row r="52" spans="2:19" ht="15.75" thickBot="1" x14ac:dyDescent="0.3">
      <c r="B52" s="54"/>
      <c r="C52" s="78"/>
      <c r="D52" s="81"/>
      <c r="E52" s="115" t="s">
        <v>36</v>
      </c>
      <c r="F52" s="37">
        <v>0</v>
      </c>
      <c r="G52" s="38"/>
      <c r="H52" s="101">
        <f>'Q2 16'!I47</f>
        <v>0</v>
      </c>
      <c r="I52" s="91">
        <f t="shared" ref="I52:I58" si="11">F52</f>
        <v>0</v>
      </c>
      <c r="J52" s="96">
        <f t="shared" si="8"/>
        <v>0</v>
      </c>
      <c r="L52" s="1"/>
      <c r="M52" s="2"/>
      <c r="N52" s="146">
        <f t="shared" si="9"/>
        <v>0</v>
      </c>
      <c r="Q52" s="1"/>
      <c r="R52" s="2"/>
      <c r="S52" s="146">
        <f t="shared" si="10"/>
        <v>0</v>
      </c>
    </row>
    <row r="53" spans="2:19" ht="15.75" thickBot="1" x14ac:dyDescent="0.3">
      <c r="B53" s="23" t="s">
        <v>10</v>
      </c>
      <c r="C53" s="86">
        <v>0.3</v>
      </c>
      <c r="D53" s="75">
        <f>SUM(F53:F58)</f>
        <v>0.24</v>
      </c>
      <c r="E53" s="28" t="s">
        <v>23</v>
      </c>
      <c r="F53" s="45">
        <v>0.05</v>
      </c>
      <c r="G53" s="35"/>
      <c r="H53" s="91">
        <f>'Q2 16'!I48</f>
        <v>0.05</v>
      </c>
      <c r="I53" s="91">
        <f t="shared" si="11"/>
        <v>0.05</v>
      </c>
      <c r="J53" s="96">
        <f t="shared" si="8"/>
        <v>0</v>
      </c>
      <c r="L53" s="132">
        <f>L34</f>
        <v>0.05</v>
      </c>
      <c r="M53" s="2"/>
      <c r="N53" s="146">
        <f t="shared" si="9"/>
        <v>2.5000000000000005E-3</v>
      </c>
      <c r="Q53" s="132">
        <f>Q16</f>
        <v>0.04</v>
      </c>
      <c r="R53" s="2"/>
      <c r="S53" s="146">
        <f t="shared" si="10"/>
        <v>2E-3</v>
      </c>
    </row>
    <row r="54" spans="2:19" ht="15.75" thickBot="1" x14ac:dyDescent="0.3">
      <c r="B54" s="53"/>
      <c r="C54" s="79"/>
      <c r="D54" s="120"/>
      <c r="E54" s="121" t="s">
        <v>33</v>
      </c>
      <c r="F54" s="122">
        <v>0.03</v>
      </c>
      <c r="G54" s="43"/>
      <c r="H54" s="92">
        <f>'Q2 16'!I49</f>
        <v>0</v>
      </c>
      <c r="I54" s="91">
        <f t="shared" si="11"/>
        <v>0.03</v>
      </c>
      <c r="J54" s="96">
        <f t="shared" si="8"/>
        <v>0.03</v>
      </c>
      <c r="L54" s="1"/>
      <c r="M54" s="2"/>
      <c r="N54" s="146">
        <f t="shared" si="9"/>
        <v>0</v>
      </c>
      <c r="Q54" s="1"/>
      <c r="R54" s="2"/>
      <c r="S54" s="146">
        <f t="shared" si="10"/>
        <v>0</v>
      </c>
    </row>
    <row r="55" spans="2:19" ht="15.75" thickBot="1" x14ac:dyDescent="0.3">
      <c r="B55" s="53"/>
      <c r="C55" s="79"/>
      <c r="D55" s="82"/>
      <c r="E55" s="29" t="s">
        <v>18</v>
      </c>
      <c r="F55" s="44">
        <v>0.06</v>
      </c>
      <c r="G55" s="33"/>
      <c r="H55" s="100">
        <f>'Q2 16'!I50</f>
        <v>0.04</v>
      </c>
      <c r="I55" s="91">
        <f t="shared" si="11"/>
        <v>0.06</v>
      </c>
      <c r="J55" s="96">
        <f t="shared" si="8"/>
        <v>1.9999999999999997E-2</v>
      </c>
      <c r="L55" s="132">
        <f>L33</f>
        <v>0.02</v>
      </c>
      <c r="M55" s="2"/>
      <c r="N55" s="146">
        <f t="shared" si="9"/>
        <v>1.1999999999999999E-3</v>
      </c>
      <c r="Q55" s="132">
        <f>Q15</f>
        <v>0.02</v>
      </c>
      <c r="R55" s="2"/>
      <c r="S55" s="146">
        <f t="shared" si="10"/>
        <v>1.1999999999999999E-3</v>
      </c>
    </row>
    <row r="56" spans="2:19" ht="15.75" thickBot="1" x14ac:dyDescent="0.3">
      <c r="B56" s="53"/>
      <c r="C56" s="79"/>
      <c r="D56" s="99"/>
      <c r="E56" s="119" t="s">
        <v>39</v>
      </c>
      <c r="F56" s="44">
        <v>0.05</v>
      </c>
      <c r="G56" s="33"/>
      <c r="H56" s="100">
        <v>0</v>
      </c>
      <c r="I56" s="91">
        <f t="shared" si="11"/>
        <v>0.05</v>
      </c>
      <c r="J56" s="96">
        <f t="shared" si="8"/>
        <v>0.05</v>
      </c>
      <c r="L56" s="132">
        <f>L37</f>
        <v>0.05</v>
      </c>
      <c r="M56" s="2"/>
      <c r="N56" s="146">
        <f t="shared" si="9"/>
        <v>2.5000000000000005E-3</v>
      </c>
      <c r="Q56" s="132">
        <f>Q17</f>
        <v>0.04</v>
      </c>
      <c r="R56" s="2"/>
      <c r="S56" s="146">
        <f t="shared" si="10"/>
        <v>2E-3</v>
      </c>
    </row>
    <row r="57" spans="2:19" ht="15.75" thickBot="1" x14ac:dyDescent="0.3">
      <c r="B57" s="53"/>
      <c r="C57" s="79"/>
      <c r="D57" s="98"/>
      <c r="E57" s="30" t="s">
        <v>24</v>
      </c>
      <c r="F57" s="44">
        <v>0</v>
      </c>
      <c r="G57" s="43"/>
      <c r="H57" s="100">
        <v>0</v>
      </c>
      <c r="I57" s="91">
        <f t="shared" si="11"/>
        <v>0</v>
      </c>
      <c r="J57" s="96">
        <f t="shared" si="8"/>
        <v>0</v>
      </c>
      <c r="L57" s="1"/>
      <c r="M57" s="2"/>
      <c r="N57" s="146">
        <f t="shared" si="9"/>
        <v>0</v>
      </c>
      <c r="Q57" s="1"/>
      <c r="R57" s="2"/>
      <c r="S57" s="146">
        <f t="shared" si="10"/>
        <v>0</v>
      </c>
    </row>
    <row r="58" spans="2:19" ht="15.75" thickBot="1" x14ac:dyDescent="0.3">
      <c r="B58" s="54"/>
      <c r="C58" s="78"/>
      <c r="D58" s="81"/>
      <c r="E58" s="31" t="s">
        <v>13</v>
      </c>
      <c r="F58" s="39">
        <v>0.05</v>
      </c>
      <c r="G58" s="38"/>
      <c r="H58" s="92">
        <f>'Q2 16'!I52</f>
        <v>0.05</v>
      </c>
      <c r="I58" s="91">
        <f t="shared" si="11"/>
        <v>0.05</v>
      </c>
      <c r="J58" s="96">
        <f t="shared" si="8"/>
        <v>0</v>
      </c>
      <c r="L58" s="132">
        <f>L36</f>
        <v>0.05</v>
      </c>
      <c r="M58" s="2"/>
      <c r="N58" s="146">
        <f t="shared" si="9"/>
        <v>2.5000000000000005E-3</v>
      </c>
      <c r="Q58" s="132">
        <f>Q36</f>
        <v>0.05</v>
      </c>
      <c r="R58" s="2"/>
      <c r="S58" s="146">
        <f t="shared" si="10"/>
        <v>2.5000000000000005E-3</v>
      </c>
    </row>
    <row r="59" spans="2:19" ht="15.75" thickBot="1" x14ac:dyDescent="0.3">
      <c r="B59" s="23" t="s">
        <v>11</v>
      </c>
      <c r="C59" s="86">
        <v>1</v>
      </c>
      <c r="D59" s="87">
        <f>100%-D53-D51-D45</f>
        <v>7.999999999999996E-2</v>
      </c>
      <c r="E59" s="32"/>
      <c r="F59" s="46"/>
      <c r="G59" s="75">
        <v>0.12</v>
      </c>
      <c r="H59" s="75">
        <v>0.05</v>
      </c>
      <c r="I59" s="75">
        <f>D59</f>
        <v>7.999999999999996E-2</v>
      </c>
      <c r="J59" s="128">
        <f t="shared" si="8"/>
        <v>2.9999999999999957E-2</v>
      </c>
      <c r="L59" s="133">
        <f>L38</f>
        <v>-4.0000000000000001E-3</v>
      </c>
      <c r="M59" s="7"/>
      <c r="N59" s="147">
        <f>L59*D59</f>
        <v>-3.1999999999999986E-4</v>
      </c>
      <c r="Q59" s="6"/>
      <c r="R59" s="7"/>
      <c r="S59" s="147"/>
    </row>
    <row r="60" spans="2:19" ht="15.75" thickBot="1" x14ac:dyDescent="0.3">
      <c r="N60" s="131"/>
      <c r="Q60" s="143">
        <f>Q39</f>
        <v>0.05</v>
      </c>
      <c r="R60" s="32"/>
      <c r="S60" s="148">
        <f>Q60*G59</f>
        <v>6.0000000000000001E-3</v>
      </c>
    </row>
    <row r="61" spans="2:19" x14ac:dyDescent="0.25">
      <c r="N61" s="131"/>
      <c r="S61" s="131"/>
    </row>
    <row r="62" spans="2:19" x14ac:dyDescent="0.25">
      <c r="N62" s="131"/>
      <c r="S62" s="131"/>
    </row>
    <row r="63" spans="2:19" x14ac:dyDescent="0.25">
      <c r="N63" s="131"/>
      <c r="S63" s="131"/>
    </row>
    <row r="64" spans="2:19" x14ac:dyDescent="0.25">
      <c r="N64" s="131"/>
      <c r="S64" s="131"/>
    </row>
    <row r="65" spans="14:19" x14ac:dyDescent="0.25">
      <c r="N65" s="131"/>
      <c r="S65" s="131"/>
    </row>
    <row r="66" spans="14:19" x14ac:dyDescent="0.25">
      <c r="N66" s="131"/>
      <c r="S66" s="131"/>
    </row>
    <row r="67" spans="14:19" x14ac:dyDescent="0.25">
      <c r="N67" s="131"/>
    </row>
    <row r="68" spans="14:19" x14ac:dyDescent="0.25">
      <c r="N68" s="131"/>
    </row>
    <row r="69" spans="14:19" x14ac:dyDescent="0.25">
      <c r="N69" s="131"/>
    </row>
    <row r="70" spans="14:19" x14ac:dyDescent="0.25">
      <c r="N70" s="13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58"/>
  <sheetViews>
    <sheetView workbookViewId="0">
      <selection activeCell="C3" sqref="B3:C3"/>
    </sheetView>
  </sheetViews>
  <sheetFormatPr defaultRowHeight="15" x14ac:dyDescent="0.25"/>
  <cols>
    <col min="3" max="3" width="12" customWidth="1"/>
    <col min="8" max="8" width="13.7109375" customWidth="1"/>
  </cols>
  <sheetData>
    <row r="2" spans="2:12" ht="15.75" thickBot="1" x14ac:dyDescent="0.3"/>
    <row r="3" spans="2:12" ht="19.5" thickBot="1" x14ac:dyDescent="0.35">
      <c r="B3" s="51" t="s">
        <v>30</v>
      </c>
      <c r="C3" s="52"/>
    </row>
    <row r="5" spans="2:12" ht="15.75" thickBot="1" x14ac:dyDescent="0.3"/>
    <row r="6" spans="2:12" ht="18.75" x14ac:dyDescent="0.3">
      <c r="B6" s="9" t="s">
        <v>0</v>
      </c>
      <c r="C6" s="10"/>
      <c r="D6" s="10"/>
      <c r="E6" s="11"/>
      <c r="F6" s="10"/>
      <c r="G6" s="10"/>
      <c r="H6" s="10"/>
      <c r="I6" s="10"/>
      <c r="J6" s="10"/>
      <c r="K6" s="10"/>
      <c r="L6" s="11"/>
    </row>
    <row r="7" spans="2:12" x14ac:dyDescent="0.25">
      <c r="B7" s="12"/>
      <c r="C7" s="13"/>
      <c r="D7" s="13"/>
      <c r="E7" s="14"/>
      <c r="F7" s="13"/>
      <c r="G7" s="13"/>
      <c r="H7" s="13"/>
      <c r="I7" s="13"/>
      <c r="J7" s="13"/>
      <c r="K7" s="13"/>
      <c r="L7" s="14"/>
    </row>
    <row r="8" spans="2:12" ht="15.75" thickBot="1" x14ac:dyDescent="0.3">
      <c r="B8" s="15" t="s">
        <v>1</v>
      </c>
      <c r="C8" s="16"/>
      <c r="D8" s="16"/>
      <c r="E8" s="17"/>
      <c r="F8" s="16" t="s">
        <v>27</v>
      </c>
      <c r="G8" s="16"/>
      <c r="H8" s="16" t="s">
        <v>4</v>
      </c>
      <c r="I8" s="16" t="s">
        <v>5</v>
      </c>
      <c r="J8" s="16"/>
      <c r="K8" s="16" t="s">
        <v>15</v>
      </c>
      <c r="L8" s="17"/>
    </row>
    <row r="9" spans="2:12" x14ac:dyDescent="0.25">
      <c r="B9" s="1"/>
      <c r="C9" s="2" t="s">
        <v>2</v>
      </c>
      <c r="D9" s="4">
        <v>0.2</v>
      </c>
      <c r="E9" s="3"/>
      <c r="F9" s="4">
        <f>I9+I10</f>
        <v>0.2</v>
      </c>
      <c r="G9" s="2"/>
      <c r="H9" s="4" t="s">
        <v>6</v>
      </c>
      <c r="I9" s="4">
        <v>0.15</v>
      </c>
      <c r="J9" s="2"/>
      <c r="K9" s="2"/>
      <c r="L9" s="3"/>
    </row>
    <row r="10" spans="2:12" x14ac:dyDescent="0.25">
      <c r="B10" s="1"/>
      <c r="C10" s="2"/>
      <c r="D10" s="4"/>
      <c r="E10" s="3"/>
      <c r="F10" s="2"/>
      <c r="G10" s="2"/>
      <c r="H10" s="4" t="s">
        <v>7</v>
      </c>
      <c r="I10" s="4">
        <v>0.05</v>
      </c>
      <c r="J10" s="2"/>
      <c r="K10" s="2"/>
      <c r="L10" s="3"/>
    </row>
    <row r="11" spans="2:12" x14ac:dyDescent="0.25">
      <c r="B11" s="1"/>
      <c r="C11" s="2" t="s">
        <v>3</v>
      </c>
      <c r="D11" s="2"/>
      <c r="E11" s="3"/>
      <c r="F11" s="4">
        <f>I11+I12+I13</f>
        <v>0.55000000000000004</v>
      </c>
      <c r="G11" s="2"/>
      <c r="H11" s="2" t="s">
        <v>8</v>
      </c>
      <c r="I11" s="4">
        <v>0.4</v>
      </c>
      <c r="J11" s="2"/>
      <c r="K11" s="2"/>
      <c r="L11" s="3"/>
    </row>
    <row r="12" spans="2:12" x14ac:dyDescent="0.25">
      <c r="B12" s="1"/>
      <c r="C12" s="2"/>
      <c r="D12" s="2"/>
      <c r="E12" s="3"/>
      <c r="F12" s="2"/>
      <c r="G12" s="2"/>
      <c r="H12" s="2" t="s">
        <v>9</v>
      </c>
      <c r="I12" s="4">
        <v>0.08</v>
      </c>
      <c r="J12" s="2"/>
      <c r="K12" s="2"/>
      <c r="L12" s="3"/>
    </row>
    <row r="13" spans="2:12" x14ac:dyDescent="0.25">
      <c r="B13" s="1"/>
      <c r="C13" s="2"/>
      <c r="D13" s="2"/>
      <c r="E13" s="3"/>
      <c r="F13" s="2"/>
      <c r="G13" s="2"/>
      <c r="H13" s="2" t="s">
        <v>20</v>
      </c>
      <c r="I13" s="4">
        <v>7.0000000000000007E-2</v>
      </c>
      <c r="J13" s="2"/>
      <c r="K13" s="2"/>
      <c r="L13" s="3"/>
    </row>
    <row r="14" spans="2:12" x14ac:dyDescent="0.25">
      <c r="B14" s="1"/>
      <c r="C14" s="2" t="s">
        <v>10</v>
      </c>
      <c r="D14" s="2"/>
      <c r="E14" s="3"/>
      <c r="F14" s="4">
        <f>SUM(I14:I17)</f>
        <v>0.1</v>
      </c>
      <c r="G14" s="2"/>
      <c r="H14" s="2" t="s">
        <v>19</v>
      </c>
      <c r="I14" s="4">
        <v>0</v>
      </c>
      <c r="J14" s="2"/>
      <c r="K14" s="2"/>
      <c r="L14" s="3"/>
    </row>
    <row r="15" spans="2:12" x14ac:dyDescent="0.25">
      <c r="B15" s="1"/>
      <c r="C15" s="2"/>
      <c r="D15" s="2"/>
      <c r="E15" s="3"/>
      <c r="F15" s="2"/>
      <c r="G15" s="2"/>
      <c r="H15" s="2" t="s">
        <v>18</v>
      </c>
      <c r="I15" s="4">
        <v>7.0000000000000007E-2</v>
      </c>
      <c r="J15" s="2"/>
      <c r="K15" s="2"/>
      <c r="L15" s="3"/>
    </row>
    <row r="16" spans="2:12" x14ac:dyDescent="0.25">
      <c r="B16" s="1"/>
      <c r="C16" s="2"/>
      <c r="D16" s="2"/>
      <c r="E16" s="3"/>
      <c r="F16" s="2"/>
      <c r="G16" s="2"/>
      <c r="H16" s="18" t="s">
        <v>23</v>
      </c>
      <c r="I16" s="4">
        <v>0.03</v>
      </c>
      <c r="J16" s="2"/>
      <c r="K16" s="2"/>
      <c r="L16" s="3"/>
    </row>
    <row r="17" spans="2:12" x14ac:dyDescent="0.25">
      <c r="B17" s="1"/>
      <c r="C17" s="2"/>
      <c r="D17" s="2"/>
      <c r="E17" s="3"/>
      <c r="F17" s="2"/>
      <c r="G17" s="2"/>
      <c r="H17" s="18" t="s">
        <v>24</v>
      </c>
      <c r="I17" s="4">
        <v>0</v>
      </c>
      <c r="J17" s="2"/>
      <c r="K17" s="2"/>
      <c r="L17" s="3"/>
    </row>
    <row r="18" spans="2:12" x14ac:dyDescent="0.25">
      <c r="B18" s="1"/>
      <c r="C18" s="2" t="s">
        <v>11</v>
      </c>
      <c r="D18" s="2"/>
      <c r="E18" s="3"/>
      <c r="F18" s="5">
        <f>100%-F14-F11-F9</f>
        <v>0.14999999999999997</v>
      </c>
      <c r="G18" s="2"/>
      <c r="H18" s="2"/>
      <c r="I18" s="2"/>
      <c r="J18" s="2"/>
      <c r="K18" s="2"/>
      <c r="L18" s="3"/>
    </row>
    <row r="19" spans="2:12" x14ac:dyDescent="0.25">
      <c r="B19" s="1"/>
      <c r="C19" s="2"/>
      <c r="D19" s="2"/>
      <c r="E19" s="3"/>
      <c r="F19" s="2"/>
      <c r="G19" s="2"/>
      <c r="H19" s="2"/>
      <c r="I19" s="2"/>
      <c r="J19" s="2"/>
      <c r="K19" s="2" t="s">
        <v>28</v>
      </c>
      <c r="L19" s="3"/>
    </row>
    <row r="20" spans="2:12" ht="15.75" thickBot="1" x14ac:dyDescent="0.3">
      <c r="B20" s="6"/>
      <c r="C20" s="7"/>
      <c r="D20" s="7"/>
      <c r="E20" s="8"/>
      <c r="F20" s="7"/>
      <c r="G20" s="7"/>
      <c r="H20" s="7"/>
      <c r="I20" s="7"/>
      <c r="J20" s="7"/>
      <c r="K20" s="7"/>
      <c r="L20" s="8"/>
    </row>
    <row r="23" spans="2:12" ht="15.75" thickBot="1" x14ac:dyDescent="0.3"/>
    <row r="24" spans="2:12" ht="18.75" x14ac:dyDescent="0.3">
      <c r="B24" s="9" t="s">
        <v>12</v>
      </c>
      <c r="C24" s="10"/>
      <c r="D24" s="10"/>
      <c r="E24" s="11"/>
      <c r="F24" s="10"/>
      <c r="G24" s="10"/>
      <c r="H24" s="10"/>
      <c r="I24" s="10"/>
      <c r="J24" s="10"/>
      <c r="K24" s="10"/>
      <c r="L24" s="11"/>
    </row>
    <row r="25" spans="2:12" x14ac:dyDescent="0.25">
      <c r="B25" s="12"/>
      <c r="C25" s="13"/>
      <c r="D25" s="13"/>
      <c r="E25" s="14"/>
      <c r="F25" s="13"/>
      <c r="G25" s="13"/>
      <c r="H25" s="13"/>
      <c r="I25" s="13"/>
      <c r="J25" s="13"/>
      <c r="K25" s="13"/>
      <c r="L25" s="14"/>
    </row>
    <row r="26" spans="2:12" ht="15.75" thickBot="1" x14ac:dyDescent="0.3">
      <c r="B26" s="15" t="s">
        <v>1</v>
      </c>
      <c r="C26" s="16"/>
      <c r="D26" s="16"/>
      <c r="E26" s="17"/>
      <c r="F26" s="16" t="s">
        <v>27</v>
      </c>
      <c r="G26" s="16"/>
      <c r="H26" s="16" t="s">
        <v>4</v>
      </c>
      <c r="I26" s="16" t="s">
        <v>5</v>
      </c>
      <c r="J26" s="16"/>
      <c r="K26" s="16" t="s">
        <v>15</v>
      </c>
      <c r="L26" s="17"/>
    </row>
    <row r="27" spans="2:12" x14ac:dyDescent="0.25">
      <c r="B27" s="1"/>
      <c r="C27" s="2" t="s">
        <v>2</v>
      </c>
      <c r="D27" s="4">
        <v>0.3</v>
      </c>
      <c r="E27" s="3"/>
      <c r="F27" s="4">
        <f>I27+I29+I28</f>
        <v>0.30000000000000004</v>
      </c>
      <c r="G27" s="2"/>
      <c r="H27" s="4" t="s">
        <v>6</v>
      </c>
      <c r="I27" s="4">
        <v>0.22</v>
      </c>
      <c r="J27" s="2"/>
      <c r="K27" s="2"/>
      <c r="L27" s="3"/>
    </row>
    <row r="28" spans="2:12" x14ac:dyDescent="0.25">
      <c r="B28" s="1"/>
      <c r="C28" s="2"/>
      <c r="D28" s="4"/>
      <c r="E28" s="3"/>
      <c r="F28" s="4"/>
      <c r="G28" s="2"/>
      <c r="H28" s="4" t="s">
        <v>22</v>
      </c>
      <c r="I28" s="4">
        <v>0.03</v>
      </c>
      <c r="J28" s="2"/>
      <c r="K28" s="2"/>
      <c r="L28" s="3"/>
    </row>
    <row r="29" spans="2:12" x14ac:dyDescent="0.25">
      <c r="B29" s="1"/>
      <c r="C29" s="2"/>
      <c r="D29" s="4"/>
      <c r="E29" s="3"/>
      <c r="F29" s="2"/>
      <c r="G29" s="2"/>
      <c r="H29" s="4" t="s">
        <v>7</v>
      </c>
      <c r="I29" s="4">
        <v>0.05</v>
      </c>
      <c r="J29" s="2"/>
      <c r="K29" s="2"/>
      <c r="L29" s="3"/>
    </row>
    <row r="30" spans="2:12" x14ac:dyDescent="0.25">
      <c r="B30" s="1"/>
      <c r="C30" s="2" t="s">
        <v>3</v>
      </c>
      <c r="D30" s="2"/>
      <c r="E30" s="3"/>
      <c r="F30" s="4">
        <f>I30+I31+I32</f>
        <v>0.42</v>
      </c>
      <c r="G30" s="2"/>
      <c r="H30" s="2" t="s">
        <v>8</v>
      </c>
      <c r="I30" s="4">
        <v>0.3</v>
      </c>
      <c r="J30" s="2"/>
      <c r="K30" s="2"/>
      <c r="L30" s="3"/>
    </row>
    <row r="31" spans="2:12" x14ac:dyDescent="0.25">
      <c r="B31" s="1"/>
      <c r="C31" s="2"/>
      <c r="D31" s="2"/>
      <c r="E31" s="3"/>
      <c r="F31" s="2"/>
      <c r="G31" s="2"/>
      <c r="H31" s="2" t="s">
        <v>9</v>
      </c>
      <c r="I31" s="4">
        <v>7.0000000000000007E-2</v>
      </c>
      <c r="J31" s="2"/>
      <c r="K31" s="2"/>
      <c r="L31" s="3"/>
    </row>
    <row r="32" spans="2:12" x14ac:dyDescent="0.25">
      <c r="B32" s="1"/>
      <c r="C32" s="2"/>
      <c r="D32" s="2"/>
      <c r="E32" s="3"/>
      <c r="F32" s="2"/>
      <c r="G32" s="2"/>
      <c r="H32" s="2" t="s">
        <v>20</v>
      </c>
      <c r="I32" s="4">
        <v>0.05</v>
      </c>
      <c r="J32" s="2"/>
      <c r="K32" s="2"/>
      <c r="L32" s="3"/>
    </row>
    <row r="33" spans="2:12" x14ac:dyDescent="0.25">
      <c r="B33" s="1"/>
      <c r="C33" s="2" t="s">
        <v>10</v>
      </c>
      <c r="D33" s="2"/>
      <c r="E33" s="3"/>
      <c r="F33" s="4">
        <f>SUM(I33:I37)</f>
        <v>0.12</v>
      </c>
      <c r="G33" s="2"/>
      <c r="H33" s="2" t="s">
        <v>21</v>
      </c>
      <c r="I33" s="4">
        <v>0</v>
      </c>
      <c r="J33" s="2"/>
      <c r="K33" s="2"/>
      <c r="L33" s="3"/>
    </row>
    <row r="34" spans="2:12" x14ac:dyDescent="0.25">
      <c r="B34" s="1"/>
      <c r="C34" s="2"/>
      <c r="D34" s="2"/>
      <c r="E34" s="3"/>
      <c r="F34" s="2"/>
      <c r="G34" s="2"/>
      <c r="H34" s="2" t="s">
        <v>18</v>
      </c>
      <c r="I34" s="4">
        <v>0.03</v>
      </c>
      <c r="J34" s="2"/>
      <c r="K34" s="2"/>
      <c r="L34" s="3"/>
    </row>
    <row r="35" spans="2:12" x14ac:dyDescent="0.25">
      <c r="B35" s="1"/>
      <c r="C35" s="2"/>
      <c r="D35" s="2"/>
      <c r="E35" s="3"/>
      <c r="F35" s="2"/>
      <c r="G35" s="2"/>
      <c r="H35" s="18" t="s">
        <v>23</v>
      </c>
      <c r="I35" s="4">
        <v>0.05</v>
      </c>
      <c r="J35" s="2"/>
      <c r="K35" s="2"/>
      <c r="L35" s="3"/>
    </row>
    <row r="36" spans="2:12" x14ac:dyDescent="0.25">
      <c r="B36" s="1"/>
      <c r="C36" s="2"/>
      <c r="D36" s="2"/>
      <c r="E36" s="3"/>
      <c r="F36" s="2"/>
      <c r="G36" s="2"/>
      <c r="H36" s="18" t="s">
        <v>24</v>
      </c>
      <c r="I36" s="4">
        <v>0</v>
      </c>
      <c r="J36" s="2"/>
      <c r="K36" s="2"/>
      <c r="L36" s="3"/>
    </row>
    <row r="37" spans="2:12" x14ac:dyDescent="0.25">
      <c r="B37" s="1"/>
      <c r="C37" s="2"/>
      <c r="D37" s="2"/>
      <c r="E37" s="3"/>
      <c r="F37" s="2"/>
      <c r="G37" s="2"/>
      <c r="H37" s="2" t="s">
        <v>13</v>
      </c>
      <c r="I37" s="4">
        <v>0.04</v>
      </c>
      <c r="J37" s="2"/>
      <c r="K37" s="2"/>
      <c r="L37" s="3"/>
    </row>
    <row r="38" spans="2:12" x14ac:dyDescent="0.25">
      <c r="B38" s="1"/>
      <c r="C38" s="2" t="s">
        <v>11</v>
      </c>
      <c r="D38" s="2"/>
      <c r="E38" s="3"/>
      <c r="F38" s="5">
        <f>100%-F33-F30-F27</f>
        <v>0.15999999999999998</v>
      </c>
      <c r="G38" s="2"/>
      <c r="H38" s="2"/>
      <c r="I38" s="2"/>
      <c r="J38" s="2"/>
      <c r="K38" s="2" t="s">
        <v>29</v>
      </c>
      <c r="L38" s="3"/>
    </row>
    <row r="39" spans="2:12" ht="15.75" thickBot="1" x14ac:dyDescent="0.3">
      <c r="B39" s="6"/>
      <c r="C39" s="7"/>
      <c r="D39" s="7"/>
      <c r="E39" s="8"/>
      <c r="F39" s="7"/>
      <c r="G39" s="7"/>
      <c r="H39" s="7"/>
      <c r="I39" s="7"/>
      <c r="J39" s="7"/>
      <c r="K39" s="7"/>
      <c r="L39" s="8"/>
    </row>
    <row r="42" spans="2:12" ht="15.75" thickBot="1" x14ac:dyDescent="0.3"/>
    <row r="43" spans="2:12" ht="18.75" x14ac:dyDescent="0.3">
      <c r="B43" s="9" t="s">
        <v>14</v>
      </c>
      <c r="C43" s="10"/>
      <c r="D43" s="10"/>
      <c r="E43" s="11"/>
      <c r="F43" s="10"/>
      <c r="G43" s="10"/>
      <c r="H43" s="10"/>
      <c r="I43" s="10"/>
      <c r="J43" s="10"/>
      <c r="K43" s="10"/>
      <c r="L43" s="11"/>
    </row>
    <row r="44" spans="2:12" x14ac:dyDescent="0.25">
      <c r="B44" s="12"/>
      <c r="C44" s="13"/>
      <c r="D44" s="13"/>
      <c r="E44" s="14"/>
      <c r="F44" s="13"/>
      <c r="G44" s="13"/>
      <c r="H44" s="13"/>
      <c r="I44" s="13"/>
      <c r="J44" s="13"/>
      <c r="K44" s="13"/>
      <c r="L44" s="14"/>
    </row>
    <row r="45" spans="2:12" ht="15.75" thickBot="1" x14ac:dyDescent="0.3">
      <c r="B45" s="15" t="s">
        <v>1</v>
      </c>
      <c r="C45" s="16"/>
      <c r="D45" s="16"/>
      <c r="E45" s="17"/>
      <c r="F45" s="16" t="s">
        <v>27</v>
      </c>
      <c r="G45" s="16"/>
      <c r="H45" s="16" t="s">
        <v>4</v>
      </c>
      <c r="I45" s="16" t="s">
        <v>5</v>
      </c>
      <c r="J45" s="16"/>
      <c r="K45" s="16" t="s">
        <v>15</v>
      </c>
      <c r="L45" s="17"/>
    </row>
    <row r="46" spans="2:12" x14ac:dyDescent="0.25">
      <c r="B46" s="1"/>
      <c r="C46" s="2" t="s">
        <v>2</v>
      </c>
      <c r="D46" s="4">
        <v>0.7</v>
      </c>
      <c r="E46" s="3"/>
      <c r="F46" s="4">
        <f>I46+I47+I49+I50+I48</f>
        <v>0.57000000000000006</v>
      </c>
      <c r="G46" s="2"/>
      <c r="H46" s="4" t="s">
        <v>6</v>
      </c>
      <c r="I46" s="4">
        <v>0.42</v>
      </c>
      <c r="J46" s="2"/>
      <c r="K46" s="2"/>
      <c r="L46" s="3"/>
    </row>
    <row r="47" spans="2:12" x14ac:dyDescent="0.25">
      <c r="B47" s="1"/>
      <c r="C47" s="2"/>
      <c r="D47" s="4"/>
      <c r="E47" s="3"/>
      <c r="F47" s="2"/>
      <c r="G47" s="2"/>
      <c r="H47" s="4" t="s">
        <v>7</v>
      </c>
      <c r="I47" s="4">
        <v>0.06</v>
      </c>
      <c r="J47" s="2"/>
      <c r="K47" s="2"/>
      <c r="L47" s="3"/>
    </row>
    <row r="48" spans="2:12" x14ac:dyDescent="0.25">
      <c r="B48" s="1"/>
      <c r="C48" s="2"/>
      <c r="D48" s="4"/>
      <c r="E48" s="3"/>
      <c r="F48" s="2"/>
      <c r="G48" s="2"/>
      <c r="H48" s="4" t="s">
        <v>22</v>
      </c>
      <c r="I48" s="4">
        <v>0.03</v>
      </c>
      <c r="J48" s="2"/>
      <c r="K48" s="2"/>
      <c r="L48" s="3"/>
    </row>
    <row r="49" spans="2:12" x14ac:dyDescent="0.25">
      <c r="B49" s="1"/>
      <c r="C49" s="2"/>
      <c r="D49" s="4"/>
      <c r="E49" s="3"/>
      <c r="F49" s="2"/>
      <c r="G49" s="2"/>
      <c r="H49" s="4" t="s">
        <v>16</v>
      </c>
      <c r="I49" s="4">
        <v>0.03</v>
      </c>
      <c r="J49" s="2"/>
      <c r="K49" s="2"/>
      <c r="L49" s="3"/>
    </row>
    <row r="50" spans="2:12" x14ac:dyDescent="0.25">
      <c r="B50" s="1"/>
      <c r="C50" s="2"/>
      <c r="D50" s="4"/>
      <c r="E50" s="3"/>
      <c r="F50" s="2"/>
      <c r="G50" s="2"/>
      <c r="H50" s="4" t="s">
        <v>17</v>
      </c>
      <c r="I50" s="4">
        <v>0.03</v>
      </c>
      <c r="J50" s="2"/>
      <c r="K50" s="2"/>
      <c r="L50" s="3"/>
    </row>
    <row r="51" spans="2:12" x14ac:dyDescent="0.25">
      <c r="B51" s="1"/>
      <c r="C51" s="2" t="s">
        <v>3</v>
      </c>
      <c r="D51" s="2"/>
      <c r="E51" s="3"/>
      <c r="F51" s="4">
        <f>I51+I52</f>
        <v>0.22999999999999998</v>
      </c>
      <c r="G51" s="2"/>
      <c r="H51" s="2" t="s">
        <v>8</v>
      </c>
      <c r="I51" s="4">
        <v>0.18</v>
      </c>
      <c r="J51" s="2"/>
      <c r="K51" s="2"/>
      <c r="L51" s="3"/>
    </row>
    <row r="52" spans="2:12" x14ac:dyDescent="0.25">
      <c r="B52" s="1"/>
      <c r="C52" s="2"/>
      <c r="D52" s="2"/>
      <c r="E52" s="3"/>
      <c r="F52" s="2"/>
      <c r="G52" s="2"/>
      <c r="H52" s="2" t="s">
        <v>9</v>
      </c>
      <c r="I52" s="4">
        <v>0.05</v>
      </c>
      <c r="J52" s="2"/>
      <c r="K52" s="2"/>
      <c r="L52" s="3"/>
    </row>
    <row r="53" spans="2:12" x14ac:dyDescent="0.25">
      <c r="B53" s="1"/>
      <c r="C53" s="2" t="s">
        <v>10</v>
      </c>
      <c r="D53" s="2"/>
      <c r="E53" s="3"/>
      <c r="F53" s="4">
        <f>SUM(I53:I56)</f>
        <v>0.15000000000000002</v>
      </c>
      <c r="G53" s="2"/>
      <c r="H53" s="18" t="s">
        <v>23</v>
      </c>
      <c r="I53" s="4">
        <v>0.06</v>
      </c>
      <c r="J53" s="2"/>
      <c r="K53" s="2"/>
      <c r="L53" s="3"/>
    </row>
    <row r="54" spans="2:12" x14ac:dyDescent="0.25">
      <c r="B54" s="1"/>
      <c r="C54" s="2"/>
      <c r="D54" s="2"/>
      <c r="E54" s="3"/>
      <c r="F54" s="2"/>
      <c r="G54" s="2"/>
      <c r="H54" s="2" t="s">
        <v>18</v>
      </c>
      <c r="I54" s="4">
        <v>0.04</v>
      </c>
      <c r="J54" s="2"/>
      <c r="K54" s="2" t="s">
        <v>29</v>
      </c>
      <c r="L54" s="3"/>
    </row>
    <row r="55" spans="2:12" x14ac:dyDescent="0.25">
      <c r="B55" s="1"/>
      <c r="C55" s="2"/>
      <c r="D55" s="2"/>
      <c r="E55" s="3"/>
      <c r="F55" s="2"/>
      <c r="G55" s="2"/>
      <c r="H55" s="18" t="s">
        <v>24</v>
      </c>
      <c r="I55" s="4">
        <v>0</v>
      </c>
      <c r="J55" s="2"/>
      <c r="K55" s="2"/>
      <c r="L55" s="3"/>
    </row>
    <row r="56" spans="2:12" x14ac:dyDescent="0.25">
      <c r="B56" s="1"/>
      <c r="C56" s="2"/>
      <c r="D56" s="2"/>
      <c r="E56" s="3"/>
      <c r="F56" s="2"/>
      <c r="G56" s="2"/>
      <c r="H56" s="2" t="s">
        <v>13</v>
      </c>
      <c r="I56" s="4">
        <v>0.05</v>
      </c>
      <c r="J56" s="2"/>
      <c r="K56" s="2"/>
      <c r="L56" s="3"/>
    </row>
    <row r="57" spans="2:12" x14ac:dyDescent="0.25">
      <c r="B57" s="1"/>
      <c r="C57" s="2" t="s">
        <v>11</v>
      </c>
      <c r="D57" s="2"/>
      <c r="E57" s="3"/>
      <c r="F57" s="5">
        <f>100%-F53-F51-F46</f>
        <v>4.9999999999999933E-2</v>
      </c>
      <c r="G57" s="2"/>
      <c r="H57" s="2"/>
      <c r="I57" s="2"/>
      <c r="J57" s="2"/>
      <c r="K57" s="2"/>
      <c r="L57" s="3"/>
    </row>
    <row r="58" spans="2:12" ht="15.75" thickBot="1" x14ac:dyDescent="0.3">
      <c r="B58" s="6"/>
      <c r="C58" s="7"/>
      <c r="D58" s="7"/>
      <c r="E58" s="8"/>
      <c r="F58" s="7"/>
      <c r="G58" s="7"/>
      <c r="H58" s="7"/>
      <c r="I58" s="7"/>
      <c r="J58" s="7"/>
      <c r="K58" s="7"/>
      <c r="L5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Q2 16</vt:lpstr>
      <vt:lpstr>Q3 16</vt:lpstr>
      <vt:lpstr>Q1 16</vt:lpstr>
      <vt:lpstr>Sheet3</vt:lpstr>
      <vt:lpstr>'Q2 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pmanet</dc:creator>
  <cp:lastModifiedBy>pdrost</cp:lastModifiedBy>
  <cp:lastPrinted>2016-05-18T16:11:21Z</cp:lastPrinted>
  <dcterms:created xsi:type="dcterms:W3CDTF">2015-04-08T11:23:34Z</dcterms:created>
  <dcterms:modified xsi:type="dcterms:W3CDTF">2016-07-01T10:13:31Z</dcterms:modified>
</cp:coreProperties>
</file>