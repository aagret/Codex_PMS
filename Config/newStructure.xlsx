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S\"/>
    </mc:Choice>
  </mc:AlternateContent>
  <xr:revisionPtr revIDLastSave="0" documentId="13_ncr:1_{F482A161-7BF0-4721-A115-1E7835F30BB0}" xr6:coauthVersionLast="47" xr6:coauthVersionMax="47" xr10:uidLastSave="{00000000-0000-0000-0000-000000000000}"/>
  <bookViews>
    <workbookView xWindow="4815" yWindow="4785" windowWidth="49395" windowHeight="25710" xr2:uid="{610B2A64-9361-4E76-9F83-1F90DCEF6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 a="1"/>
  <c r="R2" i="1" s="1"/>
  <c r="U2" i="1" s="1" a="1"/>
  <c r="U2" i="1" s="1"/>
  <c r="S2" i="1" l="1" a="1"/>
  <c r="S2" i="1" s="1"/>
  <c r="T2" i="1" a="1"/>
  <c r="T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<sst xmlns="http://schemas.openxmlformats.org/spreadsheetml/2006/main" count="378" uniqueCount="238">
  <si>
    <t>Artha</t>
  </si>
  <si>
    <t>Quintet</t>
  </si>
  <si>
    <t>example</t>
  </si>
  <si>
    <t>ClientID</t>
  </si>
  <si>
    <t>ValueDate</t>
  </si>
  <si>
    <t>Balance</t>
  </si>
  <si>
    <t>BalanceAtValueDate</t>
  </si>
  <si>
    <t>WeightedAverageCost</t>
  </si>
  <si>
    <t>WACCurrency</t>
  </si>
  <si>
    <t>AccruedInterest</t>
  </si>
  <si>
    <t>AICurrency</t>
  </si>
  <si>
    <t>CashEvaluation</t>
  </si>
  <si>
    <t>CashEvaluationCurrency</t>
  </si>
  <si>
    <t>Countervalue</t>
  </si>
  <si>
    <t>CountervalueCurrency</t>
  </si>
  <si>
    <t>KBLCodeidentifyingSecurityused</t>
  </si>
  <si>
    <t>ISINCode</t>
  </si>
  <si>
    <t>TelekursCode</t>
  </si>
  <si>
    <t>SedolCode</t>
  </si>
  <si>
    <t>BloombergCode</t>
  </si>
  <si>
    <t>ReutersCode</t>
  </si>
  <si>
    <t>DescriptionofSecurity</t>
  </si>
  <si>
    <t>TypeofFinancialInstrument</t>
  </si>
  <si>
    <t>ComplementaryType</t>
  </si>
  <si>
    <t>ExpressionType</t>
  </si>
  <si>
    <t>CurrencyCode</t>
  </si>
  <si>
    <t>VNIFrequency</t>
  </si>
  <si>
    <t>PlaceofListing</t>
  </si>
  <si>
    <t>CalculationBasis</t>
  </si>
  <si>
    <t>Contractsize</t>
  </si>
  <si>
    <t>StrikePrice</t>
  </si>
  <si>
    <t>CurrencyStrikePrice</t>
  </si>
  <si>
    <t>MaturityDate</t>
  </si>
  <si>
    <t>InterestType</t>
  </si>
  <si>
    <t>InterestRateinpercentage</t>
  </si>
  <si>
    <t>CouponPeriodicity</t>
  </si>
  <si>
    <t>CouponMaturity</t>
  </si>
  <si>
    <t>IssueDate</t>
  </si>
  <si>
    <t>IssueNominalAmount</t>
  </si>
  <si>
    <t>IssueNominalAmountCurrency</t>
  </si>
  <si>
    <t>IndicatorIssueEmission</t>
  </si>
  <si>
    <t>IndicateurEqualizationFactor</t>
  </si>
  <si>
    <t>RatingS&amp;P</t>
  </si>
  <si>
    <t>EconomicSector</t>
  </si>
  <si>
    <t>KBLAccountNumber</t>
  </si>
  <si>
    <t>AccountName</t>
  </si>
  <si>
    <t>ClientName</t>
  </si>
  <si>
    <t>LendabilityIndicator</t>
  </si>
  <si>
    <t>LendabilityStartingDate</t>
  </si>
  <si>
    <t>LendabilityEndingDate</t>
  </si>
  <si>
    <t>LendableQuantity</t>
  </si>
  <si>
    <t>LentQuantity</t>
  </si>
  <si>
    <t>K00149ED</t>
  </si>
  <si>
    <t>EUR</t>
  </si>
  <si>
    <t>TRUSTUNITS</t>
  </si>
  <si>
    <t>PCS</t>
  </si>
  <si>
    <t>N</t>
  </si>
  <si>
    <t>BalanceatValueDate</t>
  </si>
  <si>
    <t>ExchangeValuesRate</t>
  </si>
  <si>
    <t>LastBookingDate</t>
  </si>
  <si>
    <t>IBAN</t>
  </si>
  <si>
    <t>KBLCashAccountNumber</t>
  </si>
  <si>
    <t>AccountTitle</t>
  </si>
  <si>
    <t>AccountType</t>
  </si>
  <si>
    <t>Accountcurrency</t>
  </si>
  <si>
    <t>FutureDateD+1</t>
  </si>
  <si>
    <t>FuturePositionD+1</t>
  </si>
  <si>
    <t>FutureDateD+2</t>
  </si>
  <si>
    <t>FuturePositionD+2</t>
  </si>
  <si>
    <t>FutureDateD+3</t>
  </si>
  <si>
    <t>FuturePositionD+3</t>
  </si>
  <si>
    <t>LU717050K00149ED0000</t>
  </si>
  <si>
    <t>CC</t>
  </si>
  <si>
    <t>CHF</t>
  </si>
  <si>
    <t>SECURITIES</t>
  </si>
  <si>
    <t>ClientId</t>
  </si>
  <si>
    <t>PositionDate</t>
  </si>
  <si>
    <t>Position</t>
  </si>
  <si>
    <t>Cost</t>
  </si>
  <si>
    <t>Evaluation</t>
  </si>
  <si>
    <t>Security</t>
  </si>
  <si>
    <t>Price</t>
  </si>
  <si>
    <t>Quantity</t>
  </si>
  <si>
    <t>CostCurrency</t>
  </si>
  <si>
    <t>Strike Price</t>
  </si>
  <si>
    <t>Isin</t>
  </si>
  <si>
    <t>fxToClientCurrency</t>
  </si>
  <si>
    <t>EvaluationCurrency</t>
  </si>
  <si>
    <t>Evaluation2</t>
  </si>
  <si>
    <t>EvaluationCurrency2</t>
  </si>
  <si>
    <t>RM Desk</t>
  </si>
  <si>
    <t>RM Code</t>
  </si>
  <si>
    <t>External Asset Manager Code</t>
  </si>
  <si>
    <t>BP Code</t>
  </si>
  <si>
    <t>BP ISO currency</t>
  </si>
  <si>
    <t>Container code</t>
  </si>
  <si>
    <t>Container ISO currency</t>
  </si>
  <si>
    <t>Asset ID</t>
  </si>
  <si>
    <t>ISIN</t>
  </si>
  <si>
    <t>Asset Name</t>
  </si>
  <si>
    <t>Asset Type</t>
  </si>
  <si>
    <t>Asset ISO Currency</t>
  </si>
  <si>
    <t>Bloomberg Ticker</t>
  </si>
  <si>
    <t>S&amp;P Rating</t>
  </si>
  <si>
    <t>Asset Country</t>
  </si>
  <si>
    <t>Asset Industry</t>
  </si>
  <si>
    <t>Asset Economical Sector</t>
  </si>
  <si>
    <t>Contract Code</t>
  </si>
  <si>
    <t>Buy Currency</t>
  </si>
  <si>
    <t>Sell Currency</t>
  </si>
  <si>
    <t>FX Contract Operation Type</t>
  </si>
  <si>
    <t>Postions ID</t>
  </si>
  <si>
    <t>Position type</t>
  </si>
  <si>
    <t>Position ISO Currency</t>
  </si>
  <si>
    <t>Current Account Code</t>
  </si>
  <si>
    <t>Last booking date</t>
  </si>
  <si>
    <t>Reference date</t>
  </si>
  <si>
    <t>Asset Price Date</t>
  </si>
  <si>
    <t>Maturity date</t>
  </si>
  <si>
    <t>FX rate container CCY</t>
  </si>
  <si>
    <t>FX rate BP CCY</t>
  </si>
  <si>
    <t>FX rate BU CCY</t>
  </si>
  <si>
    <t>Asset Rate</t>
  </si>
  <si>
    <t>Average Cost Price</t>
  </si>
  <si>
    <t>Average Cost Price in container currency</t>
  </si>
  <si>
    <t>Cost amount</t>
  </si>
  <si>
    <t>Annual coupons amount</t>
  </si>
  <si>
    <t>P/L in %</t>
  </si>
  <si>
    <t>Weight</t>
  </si>
  <si>
    <t>Accrued Interests in position currency</t>
  </si>
  <si>
    <t>Valuation in position currency</t>
  </si>
  <si>
    <t>Accrued Interests in container currency</t>
  </si>
  <si>
    <t>Valuation in container currency</t>
  </si>
  <si>
    <t>Accrued Interests in BP currency</t>
  </si>
  <si>
    <t>Valuation in BP currency</t>
  </si>
  <si>
    <t>Accrued Interests in BU currency</t>
  </si>
  <si>
    <t>Valuation in BU currency</t>
  </si>
  <si>
    <t>Total Accrued Interests in container currency</t>
  </si>
  <si>
    <t>AUM net without accrued interests in container currency</t>
  </si>
  <si>
    <t>AUM net in container currency</t>
  </si>
  <si>
    <t>AUM net in BU currency</t>
  </si>
  <si>
    <t>Quotation Type</t>
  </si>
  <si>
    <t>Iban</t>
  </si>
  <si>
    <t>Edr</t>
  </si>
  <si>
    <t>SECURITIES&amp;CASH</t>
  </si>
  <si>
    <t>ClientCurrency</t>
  </si>
  <si>
    <t>PortfolioId</t>
  </si>
  <si>
    <t>PortfolioCurrency</t>
  </si>
  <si>
    <t>SecurityCurrency</t>
  </si>
  <si>
    <t>Ticker</t>
  </si>
  <si>
    <t>type</t>
  </si>
  <si>
    <t>PositionCurrency</t>
  </si>
  <si>
    <t>fxToPortfolioCurrency</t>
  </si>
  <si>
    <t>fxToLocalCurrency</t>
  </si>
  <si>
    <t>ClientAUM</t>
  </si>
  <si>
    <t>LocalAUM</t>
  </si>
  <si>
    <t>LU1901202280</t>
  </si>
  <si>
    <t>Uts Dharma DR Eq Uts -A- Cap (44433675)</t>
  </si>
  <si>
    <t>Fund - Equity</t>
  </si>
  <si>
    <t>Luxembourg</t>
  </si>
  <si>
    <t>Investment trusts/funds &amp; provisioning inst. (TKBN-19)</t>
  </si>
  <si>
    <t>NA</t>
  </si>
  <si>
    <t>External Asset Management Geneva</t>
  </si>
  <si>
    <t>GBP</t>
  </si>
  <si>
    <t>CostPrice</t>
  </si>
  <si>
    <t>CostValue</t>
  </si>
  <si>
    <t>PriceDate</t>
  </si>
  <si>
    <t>AssetPrice</t>
  </si>
  <si>
    <t>K06899YP</t>
  </si>
  <si>
    <t>LU1901202363</t>
  </si>
  <si>
    <t>LIA-PCP 43843 - INTGFD-ARTHA</t>
  </si>
  <si>
    <t>CH0012005267-CHF-4</t>
  </si>
  <si>
    <t>CH0012005267</t>
  </si>
  <si>
    <t>NOVN</t>
  </si>
  <si>
    <t>RS</t>
  </si>
  <si>
    <t>SHARE</t>
  </si>
  <si>
    <t>NOVARTIS N</t>
  </si>
  <si>
    <t>e</t>
  </si>
  <si>
    <t>SECURITY</t>
  </si>
  <si>
    <t>2025-02-19T16:17:32+0100</t>
  </si>
  <si>
    <t>Swissquote</t>
  </si>
  <si>
    <t>securityId</t>
  </si>
  <si>
    <t>qty</t>
  </si>
  <si>
    <t>refCurrency</t>
  </si>
  <si>
    <t>evaluationPrice</t>
  </si>
  <si>
    <t>evaluationDate</t>
  </si>
  <si>
    <t>currentCost</t>
  </si>
  <si>
    <t>currentCostInRefCurrency</t>
  </si>
  <si>
    <t>accountNumber</t>
  </si>
  <si>
    <t>securityGroup</t>
  </si>
  <si>
    <t>cotationFactor</t>
  </si>
  <si>
    <t>cotationType</t>
  </si>
  <si>
    <t>USD</t>
  </si>
  <si>
    <t>averageBuyCosts_CHF</t>
  </si>
  <si>
    <t>averageBuyCosts_EUR</t>
  </si>
  <si>
    <t>averageBuyCosts_GBP</t>
  </si>
  <si>
    <t>averageBuyCosts_DKK</t>
  </si>
  <si>
    <t>averageBuyCosts_USD</t>
  </si>
  <si>
    <t>averageBuyCosts_SEK</t>
  </si>
  <si>
    <t>averageBuyCosts_NOK</t>
  </si>
  <si>
    <t>isin</t>
  </si>
  <si>
    <t>valorNumber</t>
  </si>
  <si>
    <t>stockExchangeId</t>
  </si>
  <si>
    <t>symbol</t>
  </si>
  <si>
    <t>securityType</t>
  </si>
  <si>
    <t>name</t>
  </si>
  <si>
    <t>exerciseType</t>
  </si>
  <si>
    <t>AssetType</t>
  </si>
  <si>
    <t>WEALINS-FR037466-ARTHA FINANCE</t>
  </si>
  <si>
    <t>Accounting Balance Exchange Value</t>
  </si>
  <si>
    <t>Balance at Value Date Exchange Value</t>
  </si>
  <si>
    <t>LU1873128927</t>
  </si>
  <si>
    <t>JPM LIQUIDITY LVNAV GBP C</t>
  </si>
  <si>
    <t>OUTSS/TERM INSTRFD</t>
  </si>
  <si>
    <t> JOU</t>
  </si>
  <si>
    <t>   N</t>
  </si>
  <si>
    <t>AA+</t>
  </si>
  <si>
    <t>LU1901202363-EUR-10</t>
  </si>
  <si>
    <t>2025-02-14T00:00:00+0100</t>
  </si>
  <si>
    <t>FUND</t>
  </si>
  <si>
    <t>DHA-SASICARAIAA</t>
  </si>
  <si>
    <t>SI</t>
  </si>
  <si>
    <t>DHARMARESEARCH S.A. SICAV-RAIF-DR GLOBAL CREDIT FUND A EUR CAP</t>
  </si>
  <si>
    <t>PositionName</t>
  </si>
  <si>
    <t>AssetType1</t>
  </si>
  <si>
    <t>AssetType2</t>
  </si>
  <si>
    <t>AssetType3</t>
  </si>
  <si>
    <t>CalculationType</t>
  </si>
  <si>
    <t>PriceFrequency</t>
  </si>
  <si>
    <t>ContractSize</t>
  </si>
  <si>
    <t>InterestRate</t>
  </si>
  <si>
    <t>CostPriceInPortfolioCurrency</t>
  </si>
  <si>
    <t>PnL</t>
  </si>
  <si>
    <t>EvaluationInPortfolioCurrency</t>
  </si>
  <si>
    <t>ValuationInClientCurrency</t>
  </si>
  <si>
    <t>ValuationInLocalCurrency</t>
  </si>
  <si>
    <t>Yes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</si>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</sst>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0"/>
      <color rgb="FFF8F8F2"/>
      <name val="Lucida Console"/>
      <family val="3"/>
    </font>
    <font>
      <b/>
      <sz val="11"/>
      <color rgb="FFFF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0" borderId="0" xfId="0" applyFont="1" applyAlignment="1">
      <alignment vertical="center"/>
    </xf>
    <xf numFmtId="0" fontId="0" fillId="3" borderId="0" xfId="0" applyFill="1"/>
    <xf numFmtId="0" fontId="1" fillId="2" borderId="0" xfId="0" applyFont="1" applyFill="1"/>
    <xf numFmtId="14" fontId="3" fillId="0" borderId="0" xfId="0" applyNumberFormat="1" applyFont="1"/>
    <xf numFmtId="0" fontId="1" fillId="0" borderId="0" xfId="0" applyFont="1"/>
    <xf numFmtId="0" fontId="5" fillId="2" borderId="0" xfId="0" applyFont="1" applyFill="1"/>
    <xf numFmtId="0" fontId="3" fillId="4" borderId="0" xfId="0" applyFont="1" applyFill="1"/>
    <xf numFmtId="0" fontId="0" fillId="0" borderId="0" xfId="0" applyFill="1"/>
    <xf numFmtId="0" fontId="3" fillId="5" borderId="0" xfId="0" applyFont="1" applyFill="1"/>
    <xf numFmtId="0" fontId="3" fillId="0" borderId="0" xfId="0" applyFont="1" applyFill="1"/>
    <xf numFmtId="0" fontId="2" fillId="6" borderId="0" xfId="0" applyFont="1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414F-1391-4D5C-BC93-062847D039BB}">
  <dimension ref="A1:U67"/>
  <sheetViews>
    <sheetView tabSelected="1" workbookViewId="0">
      <selection activeCell="A45" sqref="A45"/>
    </sheetView>
  </sheetViews>
  <sheetFormatPr defaultRowHeight="14.25"/>
  <cols>
    <col min="1" max="1" width="20.625" style="4" bestFit="1" customWidth="1"/>
    <col min="2" max="2" width="33.125" bestFit="1" customWidth="1"/>
    <col min="3" max="3" width="33.75" bestFit="1" customWidth="1"/>
    <col min="4" max="4" width="28.75" bestFit="1" customWidth="1"/>
    <col min="6" max="6" width="24.875" style="4" bestFit="1" customWidth="1"/>
    <col min="7" max="7" width="47.125" style="5" bestFit="1" customWidth="1"/>
    <col min="8" max="8" width="46" bestFit="1" customWidth="1"/>
    <col min="9" max="9" width="9.875" bestFit="1" customWidth="1"/>
    <col min="10" max="10" width="19" style="4" bestFit="1" customWidth="1"/>
    <col min="11" max="11" width="22.625" bestFit="1" customWidth="1"/>
    <col min="12" max="12" width="23.75" bestFit="1" customWidth="1"/>
    <col min="13" max="13" width="69" bestFit="1" customWidth="1"/>
    <col min="18" max="18" width="24.875" bestFit="1" customWidth="1"/>
    <col min="19" max="19" width="22.625" bestFit="1" customWidth="1"/>
    <col min="20" max="20" width="47.125" bestFit="1" customWidth="1"/>
    <col min="21" max="21" width="20.375" bestFit="1" customWidth="1"/>
  </cols>
  <sheetData>
    <row r="1" spans="1:21" s="2" customFormat="1" ht="15">
      <c r="A1" s="3" t="s">
        <v>0</v>
      </c>
      <c r="B1" s="2" t="s">
        <v>1</v>
      </c>
      <c r="C1" s="2" t="s">
        <v>2</v>
      </c>
      <c r="F1" s="3" t="s">
        <v>0</v>
      </c>
      <c r="G1" s="2" t="s">
        <v>143</v>
      </c>
      <c r="J1" s="3" t="s">
        <v>0</v>
      </c>
      <c r="K1" s="2" t="s">
        <v>180</v>
      </c>
      <c r="Q1" s="16" t="s">
        <v>237</v>
      </c>
      <c r="R1" s="16" t="s">
        <v>0</v>
      </c>
      <c r="S1" s="16" t="s">
        <v>1</v>
      </c>
      <c r="T1" s="16" t="s">
        <v>143</v>
      </c>
      <c r="U1" s="16" t="s">
        <v>180</v>
      </c>
    </row>
    <row r="2" spans="1:21" s="2" customFormat="1" ht="15">
      <c r="A2" s="3" t="s">
        <v>74</v>
      </c>
      <c r="F2" s="3" t="s">
        <v>144</v>
      </c>
      <c r="J2" s="3" t="s">
        <v>144</v>
      </c>
      <c r="R2" s="5" t="str" cm="1">
        <f t="array" ref="R2:R47">_xlfn._xlws.SORT(_xlfn.UNIQUE(_xlfn.VSTACK(A3:A67,F3:F58,J3:J32)))</f>
        <v>AccruedInterest</v>
      </c>
      <c r="S2" s="5" t="str" cm="1">
        <f t="array" ref="S2:S47">_xlfn.XLOOKUP(_xlfn.ANCHORARRAY(R2),A:A,B:B,"")</f>
        <v>AccruedInterest</v>
      </c>
      <c r="T2" s="5" t="str" cm="1">
        <f t="array" ref="T2:T47">_xlfn.XLOOKUP(_xlfn.ANCHORARRAY(R2),F:F,G:G,"")</f>
        <v>Accrued Interests in position currency</v>
      </c>
      <c r="U2" s="5" t="str" cm="1">
        <f t="array" ref="U2:U47">_xlfn.XLOOKUP(_xlfn.ANCHORARRAY(R2),J:J,K:K,"")</f>
        <v/>
      </c>
    </row>
    <row r="3" spans="1:21" ht="15">
      <c r="A3" s="4" t="s">
        <v>75</v>
      </c>
      <c r="B3" t="s">
        <v>3</v>
      </c>
      <c r="C3" t="s">
        <v>52</v>
      </c>
      <c r="D3" t="s">
        <v>168</v>
      </c>
      <c r="F3" s="3"/>
      <c r="G3" s="5" t="s">
        <v>90</v>
      </c>
      <c r="H3" t="s">
        <v>162</v>
      </c>
      <c r="J3" s="4" t="s">
        <v>77</v>
      </c>
      <c r="K3" s="2" t="s">
        <v>182</v>
      </c>
      <c r="L3">
        <v>246</v>
      </c>
      <c r="M3">
        <v>28448.7</v>
      </c>
      <c r="R3" s="5" t="str">
        <v>AssetPrice</v>
      </c>
      <c r="S3" s="5" t="str">
        <v/>
      </c>
      <c r="T3" s="5" t="str">
        <v>Price</v>
      </c>
      <c r="U3" s="5" t="str">
        <v>evaluationPrice</v>
      </c>
    </row>
    <row r="4" spans="1:21">
      <c r="A4" s="4" t="s">
        <v>77</v>
      </c>
      <c r="B4" t="s">
        <v>5</v>
      </c>
      <c r="C4">
        <v>2682.57</v>
      </c>
      <c r="D4">
        <v>25.696999999999999</v>
      </c>
      <c r="G4" s="5" t="s">
        <v>91</v>
      </c>
      <c r="H4">
        <v>26183782</v>
      </c>
      <c r="I4" s="1"/>
      <c r="J4" s="4" t="s">
        <v>151</v>
      </c>
      <c r="K4" s="5" t="s">
        <v>151</v>
      </c>
      <c r="R4" s="5" t="str">
        <v>AssetType</v>
      </c>
      <c r="S4" s="5" t="str">
        <v/>
      </c>
      <c r="T4" s="5" t="str">
        <v/>
      </c>
      <c r="U4" s="5" t="str">
        <v>securityGroup</v>
      </c>
    </row>
    <row r="5" spans="1:21" ht="15">
      <c r="B5" t="s">
        <v>209</v>
      </c>
      <c r="C5">
        <v>2840.56</v>
      </c>
      <c r="D5" t="s">
        <v>161</v>
      </c>
      <c r="G5" s="5" t="s">
        <v>92</v>
      </c>
      <c r="H5">
        <v>6931119</v>
      </c>
      <c r="J5" s="11" t="s">
        <v>75</v>
      </c>
      <c r="K5" t="s">
        <v>188</v>
      </c>
      <c r="L5">
        <v>268538300</v>
      </c>
      <c r="M5">
        <v>268538302</v>
      </c>
      <c r="Q5" t="s">
        <v>236</v>
      </c>
      <c r="R5" s="14" t="str">
        <v>AssetType1</v>
      </c>
      <c r="S5" s="5" t="str">
        <v>AccountType</v>
      </c>
      <c r="T5" s="5" t="str">
        <v>Position type</v>
      </c>
      <c r="U5" s="5" t="str">
        <v>type</v>
      </c>
    </row>
    <row r="6" spans="1:21">
      <c r="A6" s="4" t="s">
        <v>76</v>
      </c>
      <c r="B6" t="s">
        <v>4</v>
      </c>
      <c r="C6" s="1">
        <v>45705</v>
      </c>
      <c r="D6">
        <v>45705</v>
      </c>
      <c r="F6" s="4" t="s">
        <v>75</v>
      </c>
      <c r="G6" s="5" t="s">
        <v>93</v>
      </c>
      <c r="H6">
        <v>1707872</v>
      </c>
      <c r="J6" s="4" t="s">
        <v>224</v>
      </c>
      <c r="K6" t="s">
        <v>150</v>
      </c>
      <c r="L6" t="s">
        <v>178</v>
      </c>
      <c r="M6" t="s">
        <v>178</v>
      </c>
      <c r="R6" s="5" t="str">
        <v>AssetType2</v>
      </c>
      <c r="S6" s="5" t="str">
        <v>TypeofFinancialInstrument</v>
      </c>
      <c r="T6" s="5" t="str">
        <v>Asset Type</v>
      </c>
      <c r="U6" s="5" t="str">
        <v/>
      </c>
    </row>
    <row r="7" spans="1:21">
      <c r="B7" t="s">
        <v>57</v>
      </c>
      <c r="C7">
        <v>2682.57</v>
      </c>
      <c r="D7" t="s">
        <v>161</v>
      </c>
      <c r="F7" s="4" t="s">
        <v>145</v>
      </c>
      <c r="G7" s="5" t="s">
        <v>94</v>
      </c>
      <c r="H7" t="s">
        <v>73</v>
      </c>
      <c r="K7" t="s">
        <v>181</v>
      </c>
      <c r="L7" t="s">
        <v>171</v>
      </c>
      <c r="M7" t="s">
        <v>217</v>
      </c>
      <c r="R7" s="5" t="str">
        <v>AssetType3</v>
      </c>
      <c r="S7" s="5" t="str">
        <v>ComplementaryType</v>
      </c>
      <c r="T7" s="5" t="str">
        <v/>
      </c>
      <c r="U7" s="5" t="str">
        <v/>
      </c>
    </row>
    <row r="8" spans="1:21">
      <c r="B8" t="s">
        <v>210</v>
      </c>
      <c r="C8">
        <v>2840.56</v>
      </c>
      <c r="D8" t="s">
        <v>161</v>
      </c>
      <c r="F8" s="4" t="s">
        <v>146</v>
      </c>
      <c r="G8" s="5" t="s">
        <v>95</v>
      </c>
      <c r="H8">
        <v>1707872</v>
      </c>
      <c r="J8" s="4" t="s">
        <v>145</v>
      </c>
      <c r="K8" t="s">
        <v>183</v>
      </c>
      <c r="L8" t="s">
        <v>73</v>
      </c>
      <c r="M8" t="s">
        <v>73</v>
      </c>
      <c r="Q8" t="s">
        <v>236</v>
      </c>
      <c r="R8" s="14" t="str">
        <v>CalculationType</v>
      </c>
      <c r="S8" s="12" t="str">
        <v>CalculationBasis</v>
      </c>
      <c r="T8" s="12" t="str">
        <v>Quotation Type</v>
      </c>
      <c r="U8" s="12" t="str">
        <v>cotationFactor</v>
      </c>
    </row>
    <row r="9" spans="1:21">
      <c r="A9" s="4" t="s">
        <v>86</v>
      </c>
      <c r="B9" t="s">
        <v>58</v>
      </c>
      <c r="C9">
        <v>1.0588957834769901</v>
      </c>
      <c r="D9" t="s">
        <v>161</v>
      </c>
      <c r="F9" s="4" t="s">
        <v>147</v>
      </c>
      <c r="G9" s="5" t="s">
        <v>96</v>
      </c>
      <c r="H9" t="s">
        <v>73</v>
      </c>
      <c r="J9" s="4" t="s">
        <v>167</v>
      </c>
      <c r="K9" t="s">
        <v>184</v>
      </c>
      <c r="L9">
        <v>96.35</v>
      </c>
      <c r="M9">
        <v>104.55</v>
      </c>
      <c r="R9" s="5" t="str">
        <v>ClientAUM</v>
      </c>
      <c r="S9" s="5" t="str">
        <v/>
      </c>
      <c r="T9" s="5" t="str">
        <v>AUM net in container currency</v>
      </c>
      <c r="U9" s="5" t="str">
        <v/>
      </c>
    </row>
    <row r="10" spans="1:21">
      <c r="B10" t="s">
        <v>59</v>
      </c>
      <c r="C10" s="1">
        <v>45471</v>
      </c>
      <c r="D10" t="s">
        <v>161</v>
      </c>
      <c r="G10" s="5" t="s">
        <v>97</v>
      </c>
      <c r="H10">
        <v>12051419</v>
      </c>
      <c r="J10" s="4" t="s">
        <v>166</v>
      </c>
      <c r="K10" t="s">
        <v>185</v>
      </c>
      <c r="L10" t="s">
        <v>179</v>
      </c>
      <c r="M10" t="s">
        <v>218</v>
      </c>
      <c r="R10" s="5" t="str">
        <v>ClientCurrency</v>
      </c>
      <c r="S10" s="5" t="str">
        <v/>
      </c>
      <c r="T10" s="5" t="str">
        <v>BP ISO currency</v>
      </c>
      <c r="U10" s="5" t="str">
        <v>refCurrency</v>
      </c>
    </row>
    <row r="11" spans="1:21">
      <c r="A11" s="4" t="s">
        <v>142</v>
      </c>
      <c r="B11" t="s">
        <v>60</v>
      </c>
      <c r="C11" t="s">
        <v>71</v>
      </c>
      <c r="D11" t="s">
        <v>161</v>
      </c>
      <c r="F11" s="4" t="s">
        <v>85</v>
      </c>
      <c r="G11" s="5" t="s">
        <v>98</v>
      </c>
      <c r="H11" t="s">
        <v>156</v>
      </c>
      <c r="K11" t="s">
        <v>186</v>
      </c>
      <c r="L11">
        <v>23702.1</v>
      </c>
      <c r="M11">
        <v>2974311.17</v>
      </c>
      <c r="Q11" t="s">
        <v>236</v>
      </c>
      <c r="R11" s="14" t="str">
        <v>ClientId</v>
      </c>
      <c r="S11" s="5" t="str">
        <v>ClientID</v>
      </c>
      <c r="T11" s="5" t="str">
        <v>BP Code</v>
      </c>
      <c r="U11" s="15" t="str">
        <v>accountNumber</v>
      </c>
    </row>
    <row r="12" spans="1:21">
      <c r="B12" t="s">
        <v>61</v>
      </c>
      <c r="C12" t="s">
        <v>52</v>
      </c>
      <c r="D12" t="s">
        <v>161</v>
      </c>
      <c r="F12" s="4" t="s">
        <v>223</v>
      </c>
      <c r="G12" s="5" t="s">
        <v>99</v>
      </c>
      <c r="H12" t="s">
        <v>157</v>
      </c>
      <c r="K12" t="s">
        <v>187</v>
      </c>
      <c r="L12">
        <v>23702.1</v>
      </c>
      <c r="M12">
        <v>2801146.77</v>
      </c>
      <c r="R12" s="5" t="str">
        <v>ClientName</v>
      </c>
      <c r="S12" s="5" t="str">
        <v>ClientName</v>
      </c>
      <c r="T12" s="5" t="str">
        <v/>
      </c>
      <c r="U12" s="5" t="str">
        <v/>
      </c>
    </row>
    <row r="13" spans="1:21">
      <c r="A13" s="4" t="s">
        <v>46</v>
      </c>
      <c r="B13" t="s">
        <v>46</v>
      </c>
      <c r="D13" t="s">
        <v>168</v>
      </c>
      <c r="F13" s="4" t="s">
        <v>225</v>
      </c>
      <c r="G13" s="5" t="s">
        <v>100</v>
      </c>
      <c r="H13" t="s">
        <v>158</v>
      </c>
      <c r="J13" s="4" t="s">
        <v>207</v>
      </c>
      <c r="K13" t="s">
        <v>189</v>
      </c>
      <c r="L13" t="s">
        <v>175</v>
      </c>
      <c r="M13" t="s">
        <v>219</v>
      </c>
      <c r="R13" s="15" t="str">
        <v>ContractSize</v>
      </c>
      <c r="S13" s="15" t="str">
        <v>Contractsize</v>
      </c>
      <c r="T13" s="15" t="str">
        <v/>
      </c>
      <c r="U13" s="15" t="str">
        <v/>
      </c>
    </row>
    <row r="14" spans="1:21">
      <c r="B14" t="s">
        <v>62</v>
      </c>
      <c r="C14" t="s">
        <v>208</v>
      </c>
      <c r="D14" t="s">
        <v>161</v>
      </c>
      <c r="F14" s="4" t="s">
        <v>151</v>
      </c>
      <c r="G14" s="5" t="s">
        <v>101</v>
      </c>
      <c r="H14" t="s">
        <v>53</v>
      </c>
      <c r="K14" t="s">
        <v>191</v>
      </c>
      <c r="L14">
        <v>1</v>
      </c>
      <c r="M14">
        <v>1</v>
      </c>
      <c r="R14" s="5" t="str">
        <v>Cost</v>
      </c>
      <c r="S14" s="5" t="str">
        <v/>
      </c>
      <c r="T14" s="5" t="str">
        <v/>
      </c>
      <c r="U14" s="5" t="str">
        <v>averageBuyCosts_CHF</v>
      </c>
    </row>
    <row r="15" spans="1:21">
      <c r="A15" s="4" t="s">
        <v>224</v>
      </c>
      <c r="B15" t="s">
        <v>63</v>
      </c>
      <c r="C15" t="s">
        <v>72</v>
      </c>
      <c r="D15" t="s">
        <v>161</v>
      </c>
      <c r="F15" s="4" t="s">
        <v>149</v>
      </c>
      <c r="G15" s="5" t="s">
        <v>102</v>
      </c>
      <c r="J15" s="4" t="s">
        <v>227</v>
      </c>
      <c r="K15" t="s">
        <v>190</v>
      </c>
      <c r="L15">
        <v>1</v>
      </c>
      <c r="M15">
        <v>1</v>
      </c>
      <c r="R15" s="5" t="str">
        <v>CostCurrency</v>
      </c>
      <c r="S15" s="5" t="str">
        <v>WACCurrency</v>
      </c>
      <c r="T15" s="5" t="str">
        <v/>
      </c>
      <c r="U15" s="5" t="str">
        <v/>
      </c>
    </row>
    <row r="16" spans="1:21">
      <c r="B16" s="13" t="s">
        <v>64</v>
      </c>
      <c r="C16" t="s">
        <v>73</v>
      </c>
      <c r="D16" t="s">
        <v>161</v>
      </c>
      <c r="G16" s="5" t="s">
        <v>103</v>
      </c>
      <c r="J16" s="4" t="s">
        <v>164</v>
      </c>
      <c r="K16" t="s">
        <v>164</v>
      </c>
      <c r="Q16" t="s">
        <v>236</v>
      </c>
      <c r="R16" s="14" t="str">
        <v>CostPrice</v>
      </c>
      <c r="S16" s="5" t="str">
        <v>WeightedAverageCost</v>
      </c>
      <c r="T16" s="5" t="str">
        <v>Average Cost Price</v>
      </c>
      <c r="U16" s="5" t="str">
        <v>CostPrice</v>
      </c>
    </row>
    <row r="17" spans="1:21">
      <c r="B17" t="s">
        <v>65</v>
      </c>
      <c r="C17">
        <v>45706</v>
      </c>
      <c r="D17" t="s">
        <v>161</v>
      </c>
      <c r="G17" s="5" t="s">
        <v>104</v>
      </c>
      <c r="H17" t="s">
        <v>159</v>
      </c>
      <c r="J17" s="8" t="s">
        <v>78</v>
      </c>
      <c r="K17" t="s">
        <v>193</v>
      </c>
      <c r="L17">
        <v>96.83</v>
      </c>
      <c r="M17">
        <v>98.374430000000004</v>
      </c>
      <c r="R17" s="5" t="str">
        <v>CostPriceInPortfolioCurrency</v>
      </c>
      <c r="S17" s="5" t="str">
        <v/>
      </c>
      <c r="T17" s="5" t="str">
        <v>Average Cost Price in container currency</v>
      </c>
      <c r="U17" s="5" t="str">
        <v/>
      </c>
    </row>
    <row r="18" spans="1:21">
      <c r="B18" t="s">
        <v>66</v>
      </c>
      <c r="C18">
        <v>2682.57</v>
      </c>
      <c r="D18" t="s">
        <v>161</v>
      </c>
      <c r="G18" s="5" t="s">
        <v>105</v>
      </c>
      <c r="J18" s="8" t="s">
        <v>78</v>
      </c>
      <c r="K18" t="s">
        <v>194</v>
      </c>
      <c r="L18">
        <v>103.08580000000001</v>
      </c>
      <c r="M18">
        <v>104.36</v>
      </c>
      <c r="R18" s="5" t="str">
        <v>CostValue</v>
      </c>
      <c r="S18" s="5" t="str">
        <v/>
      </c>
      <c r="T18" s="5" t="str">
        <v>Cost amount</v>
      </c>
      <c r="U18" s="5" t="str">
        <v/>
      </c>
    </row>
    <row r="19" spans="1:21">
      <c r="B19" t="s">
        <v>67</v>
      </c>
      <c r="C19">
        <v>45707</v>
      </c>
      <c r="D19" t="s">
        <v>161</v>
      </c>
      <c r="G19" s="5" t="s">
        <v>106</v>
      </c>
      <c r="H19" t="s">
        <v>160</v>
      </c>
      <c r="J19" s="8" t="s">
        <v>78</v>
      </c>
      <c r="K19" t="s">
        <v>195</v>
      </c>
      <c r="L19">
        <v>85.683800000000005</v>
      </c>
      <c r="M19">
        <v>86.667850000000001</v>
      </c>
      <c r="R19" s="5" t="str">
        <v>CouponPeriodicity</v>
      </c>
      <c r="S19" s="5" t="str">
        <v>CouponPeriodicity</v>
      </c>
      <c r="T19" s="5" t="str">
        <v/>
      </c>
      <c r="U19" s="5" t="str">
        <v/>
      </c>
    </row>
    <row r="20" spans="1:21">
      <c r="B20" t="s">
        <v>68</v>
      </c>
      <c r="C20">
        <v>2682.57</v>
      </c>
      <c r="D20" t="s">
        <v>161</v>
      </c>
      <c r="G20" s="5" t="s">
        <v>107</v>
      </c>
      <c r="J20" s="8" t="s">
        <v>78</v>
      </c>
      <c r="K20" t="s">
        <v>196</v>
      </c>
      <c r="L20">
        <v>769.0335</v>
      </c>
      <c r="M20">
        <v>778.41600000000005</v>
      </c>
      <c r="R20" s="5" t="str">
        <v>Evaluation</v>
      </c>
      <c r="S20" s="5" t="str">
        <v>CashEvaluation</v>
      </c>
      <c r="T20" s="5" t="str">
        <v>Valuation in position currency</v>
      </c>
      <c r="U20" s="5" t="str">
        <v/>
      </c>
    </row>
    <row r="21" spans="1:21">
      <c r="B21" t="s">
        <v>69</v>
      </c>
      <c r="C21">
        <v>45708</v>
      </c>
      <c r="D21" t="s">
        <v>161</v>
      </c>
      <c r="G21" s="5" t="s">
        <v>108</v>
      </c>
      <c r="J21" s="8" t="s">
        <v>78</v>
      </c>
      <c r="K21" t="s">
        <v>197</v>
      </c>
      <c r="L21">
        <v>106.32776</v>
      </c>
      <c r="M21">
        <v>109.19499999999999</v>
      </c>
      <c r="R21" s="5" t="str">
        <v>Evaluation2</v>
      </c>
      <c r="S21" s="5" t="str">
        <v>Countervalue</v>
      </c>
      <c r="T21" s="5" t="str">
        <v/>
      </c>
      <c r="U21" s="5" t="str">
        <v/>
      </c>
    </row>
    <row r="22" spans="1:21">
      <c r="B22" t="s">
        <v>70</v>
      </c>
      <c r="C22">
        <v>2682.57</v>
      </c>
      <c r="D22" t="s">
        <v>161</v>
      </c>
      <c r="G22" s="5" t="s">
        <v>109</v>
      </c>
      <c r="J22" s="8" t="s">
        <v>78</v>
      </c>
      <c r="K22" t="s">
        <v>198</v>
      </c>
      <c r="L22">
        <v>1165.6493</v>
      </c>
      <c r="M22">
        <v>1170.7731000000001</v>
      </c>
      <c r="R22" s="5" t="str">
        <v>EvaluationCurrency</v>
      </c>
      <c r="S22" s="5" t="str">
        <v>CashEvaluationCurrency</v>
      </c>
      <c r="T22" s="5" t="str">
        <v/>
      </c>
      <c r="U22" s="5" t="str">
        <v/>
      </c>
    </row>
    <row r="23" spans="1:21">
      <c r="B23" t="s">
        <v>6</v>
      </c>
      <c r="C23" t="s">
        <v>161</v>
      </c>
      <c r="D23">
        <v>33.697000000000003</v>
      </c>
      <c r="G23" s="5" t="s">
        <v>110</v>
      </c>
      <c r="J23" s="8" t="s">
        <v>78</v>
      </c>
      <c r="K23" t="s">
        <v>199</v>
      </c>
      <c r="L23">
        <v>1196.8664000000001</v>
      </c>
      <c r="M23">
        <v>1215.7209</v>
      </c>
      <c r="R23" s="5" t="str">
        <v>EvaluationCurrency2</v>
      </c>
      <c r="S23" s="5" t="str">
        <v>CountervalueCurrency</v>
      </c>
      <c r="T23" s="5" t="str">
        <v/>
      </c>
      <c r="U23" s="5" t="str">
        <v/>
      </c>
    </row>
    <row r="24" spans="1:21">
      <c r="A24" s="4" t="s">
        <v>164</v>
      </c>
      <c r="B24" t="s">
        <v>7</v>
      </c>
      <c r="C24" t="s">
        <v>161</v>
      </c>
      <c r="D24">
        <v>10065.6808187726</v>
      </c>
      <c r="G24" s="5" t="s">
        <v>111</v>
      </c>
      <c r="H24">
        <v>12099276</v>
      </c>
      <c r="J24" s="4" t="s">
        <v>76</v>
      </c>
      <c r="K24" t="s">
        <v>76</v>
      </c>
      <c r="M24" s="1">
        <v>45708</v>
      </c>
      <c r="R24" s="5" t="str">
        <v>EvaluationInPortfolioCurrency</v>
      </c>
      <c r="S24" s="5" t="str">
        <v/>
      </c>
      <c r="T24" s="5" t="str">
        <v>Valuation in container currency</v>
      </c>
      <c r="U24" s="5" t="str">
        <v/>
      </c>
    </row>
    <row r="25" spans="1:21">
      <c r="A25" s="4" t="s">
        <v>83</v>
      </c>
      <c r="B25" s="7" t="s">
        <v>8</v>
      </c>
      <c r="C25" t="s">
        <v>161</v>
      </c>
      <c r="D25" t="s">
        <v>163</v>
      </c>
      <c r="F25" s="4" t="s">
        <v>224</v>
      </c>
      <c r="G25" s="5" t="s">
        <v>112</v>
      </c>
      <c r="H25" t="s">
        <v>80</v>
      </c>
      <c r="J25" s="4" t="s">
        <v>85</v>
      </c>
      <c r="K25" t="s">
        <v>200</v>
      </c>
      <c r="L25" t="s">
        <v>172</v>
      </c>
      <c r="M25" t="s">
        <v>169</v>
      </c>
      <c r="R25" s="5" t="str">
        <v>fxToClientCurrency</v>
      </c>
      <c r="S25" s="5" t="str">
        <v>ExchangeValuesRate</v>
      </c>
      <c r="T25" s="5" t="str">
        <v>FX rate BP CCY</v>
      </c>
      <c r="U25" s="5" t="str">
        <v/>
      </c>
    </row>
    <row r="26" spans="1:21">
      <c r="A26" s="4" t="s">
        <v>9</v>
      </c>
      <c r="B26" t="s">
        <v>9</v>
      </c>
      <c r="C26" t="s">
        <v>161</v>
      </c>
      <c r="G26" s="5" t="s">
        <v>113</v>
      </c>
      <c r="H26" t="s">
        <v>53</v>
      </c>
      <c r="K26" t="s">
        <v>201</v>
      </c>
      <c r="L26">
        <v>1200526</v>
      </c>
      <c r="M26">
        <v>44433685</v>
      </c>
      <c r="R26" s="5" t="str">
        <v>fxToLocalCurrency</v>
      </c>
      <c r="S26" s="5" t="str">
        <v/>
      </c>
      <c r="T26" s="5" t="str">
        <v>FX rate BU CCY</v>
      </c>
      <c r="U26" s="5" t="str">
        <v/>
      </c>
    </row>
    <row r="27" spans="1:21">
      <c r="B27" s="7" t="s">
        <v>10</v>
      </c>
      <c r="C27" t="s">
        <v>161</v>
      </c>
      <c r="D27" t="s">
        <v>163</v>
      </c>
      <c r="G27" s="5" t="s">
        <v>114</v>
      </c>
      <c r="H27" t="s">
        <v>161</v>
      </c>
      <c r="K27" t="s">
        <v>202</v>
      </c>
      <c r="L27">
        <v>4</v>
      </c>
      <c r="M27">
        <v>10</v>
      </c>
      <c r="R27" s="5" t="str">
        <v>fxToPortfolioCurrency</v>
      </c>
      <c r="S27" s="5" t="str">
        <v/>
      </c>
      <c r="T27" s="5" t="str">
        <v>FX rate container CCY</v>
      </c>
      <c r="U27" s="5" t="str">
        <v/>
      </c>
    </row>
    <row r="28" spans="1:21">
      <c r="A28" s="4" t="s">
        <v>79</v>
      </c>
      <c r="B28" t="s">
        <v>11</v>
      </c>
      <c r="C28" t="s">
        <v>161</v>
      </c>
      <c r="D28">
        <v>290235.79437999998</v>
      </c>
      <c r="G28" s="5" t="s">
        <v>115</v>
      </c>
      <c r="H28" t="s">
        <v>161</v>
      </c>
      <c r="K28" t="s">
        <v>203</v>
      </c>
      <c r="L28" t="s">
        <v>173</v>
      </c>
      <c r="M28" t="s">
        <v>220</v>
      </c>
      <c r="R28" s="5" t="str">
        <v>Iban</v>
      </c>
      <c r="S28" s="5" t="str">
        <v>IBAN</v>
      </c>
      <c r="T28" s="5" t="str">
        <v/>
      </c>
      <c r="U28" s="5" t="str">
        <v/>
      </c>
    </row>
    <row r="29" spans="1:21">
      <c r="A29" s="4" t="s">
        <v>87</v>
      </c>
      <c r="B29" s="7" t="s">
        <v>12</v>
      </c>
      <c r="C29" t="s">
        <v>161</v>
      </c>
      <c r="D29" t="s">
        <v>163</v>
      </c>
      <c r="F29" s="4" t="s">
        <v>76</v>
      </c>
      <c r="G29" s="5" t="s">
        <v>116</v>
      </c>
      <c r="H29" s="1">
        <v>45705</v>
      </c>
      <c r="J29" s="4" t="s">
        <v>207</v>
      </c>
      <c r="K29" t="s">
        <v>204</v>
      </c>
      <c r="L29" t="s">
        <v>174</v>
      </c>
      <c r="M29" t="s">
        <v>221</v>
      </c>
      <c r="R29" s="5" t="str">
        <v>InterestRate</v>
      </c>
      <c r="S29" s="5" t="str">
        <v>InterestRateinpercentage</v>
      </c>
      <c r="T29" s="5" t="str">
        <v/>
      </c>
      <c r="U29" s="5" t="str">
        <v/>
      </c>
    </row>
    <row r="30" spans="1:21">
      <c r="A30" s="4" t="s">
        <v>88</v>
      </c>
      <c r="B30" t="s">
        <v>13</v>
      </c>
      <c r="C30" t="s">
        <v>161</v>
      </c>
      <c r="D30">
        <v>349138.56837783201</v>
      </c>
      <c r="F30" s="4" t="s">
        <v>166</v>
      </c>
      <c r="G30" s="5" t="s">
        <v>117</v>
      </c>
      <c r="H30">
        <v>45702</v>
      </c>
      <c r="I30" s="1"/>
      <c r="J30" s="4" t="s">
        <v>223</v>
      </c>
      <c r="K30" t="s">
        <v>205</v>
      </c>
      <c r="L30" t="s">
        <v>176</v>
      </c>
      <c r="M30" t="s">
        <v>222</v>
      </c>
      <c r="Q30" t="s">
        <v>236</v>
      </c>
      <c r="R30" s="14" t="str">
        <v>Isin</v>
      </c>
      <c r="S30" s="5" t="str">
        <v>ISINCode</v>
      </c>
      <c r="T30" s="5" t="str">
        <v>ISIN</v>
      </c>
      <c r="U30" s="5" t="str">
        <v>isin</v>
      </c>
    </row>
    <row r="31" spans="1:21">
      <c r="A31" s="4" t="s">
        <v>89</v>
      </c>
      <c r="B31" s="7" t="s">
        <v>14</v>
      </c>
      <c r="C31" t="s">
        <v>161</v>
      </c>
      <c r="D31" t="s">
        <v>53</v>
      </c>
      <c r="F31" s="4" t="s">
        <v>32</v>
      </c>
      <c r="G31" s="5" t="s">
        <v>118</v>
      </c>
      <c r="J31" s="4" t="s">
        <v>151</v>
      </c>
      <c r="K31" t="s">
        <v>148</v>
      </c>
      <c r="L31" t="s">
        <v>73</v>
      </c>
      <c r="M31" t="s">
        <v>53</v>
      </c>
      <c r="N31" s="10"/>
      <c r="R31" s="15" t="str">
        <v>LocalAUM</v>
      </c>
      <c r="S31" s="15" t="str">
        <v/>
      </c>
      <c r="T31" s="15" t="str">
        <v>AUM net in BU currency</v>
      </c>
      <c r="U31" s="15" t="str">
        <v/>
      </c>
    </row>
    <row r="32" spans="1:21">
      <c r="B32" t="s">
        <v>15</v>
      </c>
      <c r="C32" t="s">
        <v>161</v>
      </c>
      <c r="D32">
        <v>436516020</v>
      </c>
      <c r="F32" s="4" t="s">
        <v>152</v>
      </c>
      <c r="G32" s="5" t="s">
        <v>119</v>
      </c>
      <c r="H32">
        <v>0.94406126000000001</v>
      </c>
      <c r="K32" t="s">
        <v>206</v>
      </c>
      <c r="L32" t="s">
        <v>177</v>
      </c>
      <c r="M32" t="s">
        <v>161</v>
      </c>
      <c r="N32" s="10"/>
      <c r="R32" s="5" t="str">
        <v>MaturityDate</v>
      </c>
      <c r="S32" s="5" t="str">
        <v>MaturityDate</v>
      </c>
      <c r="T32" s="5" t="str">
        <v>Maturity date</v>
      </c>
      <c r="U32" s="5" t="str">
        <v/>
      </c>
    </row>
    <row r="33" spans="1:21">
      <c r="A33" s="4" t="s">
        <v>85</v>
      </c>
      <c r="B33" t="s">
        <v>16</v>
      </c>
      <c r="C33" t="s">
        <v>161</v>
      </c>
      <c r="D33" t="s">
        <v>211</v>
      </c>
      <c r="F33" s="4" t="s">
        <v>86</v>
      </c>
      <c r="G33" s="5" t="s">
        <v>120</v>
      </c>
      <c r="H33">
        <v>0.94406125699999999</v>
      </c>
      <c r="J33" s="8"/>
      <c r="K33" s="10"/>
      <c r="L33" s="10"/>
      <c r="M33" s="10"/>
      <c r="R33" s="5" t="str">
        <v>PnL</v>
      </c>
      <c r="S33" s="5" t="str">
        <v/>
      </c>
      <c r="T33" s="5" t="str">
        <v>P/L in %</v>
      </c>
      <c r="U33" s="5" t="str">
        <v/>
      </c>
    </row>
    <row r="34" spans="1:21">
      <c r="B34" t="s">
        <v>17</v>
      </c>
      <c r="C34" t="s">
        <v>161</v>
      </c>
      <c r="D34">
        <v>43651602</v>
      </c>
      <c r="F34" s="4" t="s">
        <v>153</v>
      </c>
      <c r="G34" s="5" t="s">
        <v>121</v>
      </c>
      <c r="H34">
        <v>0.94406125699999999</v>
      </c>
      <c r="J34" s="8"/>
      <c r="K34" s="10"/>
      <c r="L34" s="10"/>
      <c r="M34" s="10"/>
      <c r="R34" s="5" t="str">
        <v>PortfolioCurrency</v>
      </c>
      <c r="S34" s="5" t="str">
        <v/>
      </c>
      <c r="T34" s="5" t="str">
        <v>Container ISO currency</v>
      </c>
      <c r="U34" s="5" t="str">
        <v/>
      </c>
    </row>
    <row r="35" spans="1:21">
      <c r="B35" t="s">
        <v>18</v>
      </c>
      <c r="C35" t="s">
        <v>161</v>
      </c>
      <c r="G35" s="5" t="s">
        <v>122</v>
      </c>
      <c r="H35">
        <v>0</v>
      </c>
      <c r="R35" s="5" t="str">
        <v>PortfolioId</v>
      </c>
      <c r="S35" s="5" t="str">
        <v/>
      </c>
      <c r="T35" s="5" t="str">
        <v>Container code</v>
      </c>
      <c r="U35" s="5" t="str">
        <v/>
      </c>
    </row>
    <row r="36" spans="1:21">
      <c r="A36" s="4" t="s">
        <v>149</v>
      </c>
      <c r="B36" t="s">
        <v>19</v>
      </c>
      <c r="C36" t="s">
        <v>161</v>
      </c>
      <c r="F36" s="4" t="s">
        <v>164</v>
      </c>
      <c r="G36" s="5" t="s">
        <v>123</v>
      </c>
      <c r="H36">
        <v>123.7771498</v>
      </c>
      <c r="Q36" t="s">
        <v>236</v>
      </c>
      <c r="R36" s="14" t="str">
        <v>Position</v>
      </c>
      <c r="S36" s="5" t="str">
        <v>Balance</v>
      </c>
      <c r="T36" s="5" t="str">
        <v>Quantity</v>
      </c>
      <c r="U36" s="5" t="str">
        <v>qty</v>
      </c>
    </row>
    <row r="37" spans="1:21">
      <c r="B37" t="s">
        <v>20</v>
      </c>
      <c r="C37" t="s">
        <v>161</v>
      </c>
      <c r="F37" s="4" t="s">
        <v>231</v>
      </c>
      <c r="G37" s="5" t="s">
        <v>124</v>
      </c>
      <c r="H37">
        <v>129.66</v>
      </c>
      <c r="Q37" t="s">
        <v>236</v>
      </c>
      <c r="R37" s="14" t="str">
        <v>PositionCurrency</v>
      </c>
      <c r="S37" s="5" t="str">
        <v>CurrencyCode</v>
      </c>
      <c r="T37" s="5" t="str">
        <v>Asset ISO Currency</v>
      </c>
      <c r="U37" s="5" t="str">
        <v>PositionCurrency</v>
      </c>
    </row>
    <row r="38" spans="1:21">
      <c r="A38" s="4" t="s">
        <v>223</v>
      </c>
      <c r="B38" t="s">
        <v>21</v>
      </c>
      <c r="C38" t="s">
        <v>161</v>
      </c>
      <c r="D38" t="s">
        <v>212</v>
      </c>
      <c r="F38" s="4" t="s">
        <v>167</v>
      </c>
      <c r="G38" s="5" t="s">
        <v>81</v>
      </c>
      <c r="H38">
        <v>175.6</v>
      </c>
      <c r="Q38" t="s">
        <v>236</v>
      </c>
      <c r="R38" s="14" t="str">
        <v>PositionDate</v>
      </c>
      <c r="S38" s="5" t="str">
        <v>ValueDate</v>
      </c>
      <c r="T38" s="5" t="str">
        <v>Reference date</v>
      </c>
      <c r="U38" s="5" t="str">
        <v>PositionDate</v>
      </c>
    </row>
    <row r="39" spans="1:21">
      <c r="A39" s="4" t="s">
        <v>225</v>
      </c>
      <c r="B39" t="s">
        <v>22</v>
      </c>
      <c r="C39" t="s">
        <v>161</v>
      </c>
      <c r="D39" t="s">
        <v>54</v>
      </c>
      <c r="F39" s="4" t="s">
        <v>77</v>
      </c>
      <c r="G39" s="5" t="s">
        <v>82</v>
      </c>
      <c r="H39">
        <v>22220.522000000001</v>
      </c>
      <c r="Q39" t="s">
        <v>236</v>
      </c>
      <c r="R39" s="14" t="str">
        <v>PositionName</v>
      </c>
      <c r="S39" s="5" t="str">
        <v>DescriptionofSecurity</v>
      </c>
      <c r="T39" s="5" t="str">
        <v>Asset Name</v>
      </c>
      <c r="U39" s="5" t="str">
        <v>name</v>
      </c>
    </row>
    <row r="40" spans="1:21">
      <c r="A40" s="4" t="s">
        <v>226</v>
      </c>
      <c r="B40" t="s">
        <v>23</v>
      </c>
      <c r="C40" t="s">
        <v>161</v>
      </c>
      <c r="D40" t="s">
        <v>213</v>
      </c>
      <c r="F40" s="4" t="s">
        <v>165</v>
      </c>
      <c r="G40" s="5" t="s">
        <v>125</v>
      </c>
      <c r="H40">
        <v>2750393</v>
      </c>
      <c r="R40" s="5" t="str">
        <v>PriceDate</v>
      </c>
      <c r="S40" s="5" t="str">
        <v/>
      </c>
      <c r="T40" s="5" t="str">
        <v>Asset Price Date</v>
      </c>
      <c r="U40" s="5" t="str">
        <v>evaluationDate</v>
      </c>
    </row>
    <row r="41" spans="1:21">
      <c r="B41" t="s">
        <v>24</v>
      </c>
      <c r="C41" t="s">
        <v>161</v>
      </c>
      <c r="D41" t="s">
        <v>55</v>
      </c>
      <c r="G41" s="5" t="s">
        <v>126</v>
      </c>
      <c r="H41">
        <v>0</v>
      </c>
      <c r="K41" s="6"/>
      <c r="R41" s="5" t="str">
        <v>PriceFrequency</v>
      </c>
      <c r="S41" s="5" t="str">
        <v>VNIFrequency</v>
      </c>
      <c r="T41" s="5" t="str">
        <v/>
      </c>
      <c r="U41" s="5" t="str">
        <v/>
      </c>
    </row>
    <row r="42" spans="1:21">
      <c r="A42" s="4" t="s">
        <v>151</v>
      </c>
      <c r="B42" s="7" t="s">
        <v>25</v>
      </c>
      <c r="C42" t="s">
        <v>161</v>
      </c>
      <c r="D42" t="s">
        <v>163</v>
      </c>
      <c r="F42" s="4" t="s">
        <v>232</v>
      </c>
      <c r="G42" s="5" t="s">
        <v>127</v>
      </c>
      <c r="H42">
        <v>0.84126710000000005</v>
      </c>
      <c r="R42" s="5" t="str">
        <v>StrikePrice</v>
      </c>
      <c r="S42" s="5" t="str">
        <v>StrikePrice</v>
      </c>
      <c r="T42" s="5" t="str">
        <v>Strike Price</v>
      </c>
      <c r="U42" s="5" t="str">
        <v/>
      </c>
    </row>
    <row r="43" spans="1:21">
      <c r="A43" s="4" t="s">
        <v>228</v>
      </c>
      <c r="B43" t="s">
        <v>26</v>
      </c>
      <c r="C43" t="s">
        <v>161</v>
      </c>
      <c r="D43" t="s">
        <v>214</v>
      </c>
      <c r="F43" s="4" t="s">
        <v>128</v>
      </c>
      <c r="G43" s="5" t="s">
        <v>128</v>
      </c>
      <c r="H43">
        <v>0.32751370000000002</v>
      </c>
      <c r="R43" s="5" t="str">
        <v>Ticker</v>
      </c>
      <c r="S43" s="5" t="str">
        <v>BloombergCode</v>
      </c>
      <c r="T43" s="5" t="str">
        <v>Bloomberg Ticker</v>
      </c>
      <c r="U43" s="5" t="str">
        <v/>
      </c>
    </row>
    <row r="44" spans="1:21">
      <c r="B44" t="s">
        <v>27</v>
      </c>
      <c r="C44" t="s">
        <v>161</v>
      </c>
      <c r="F44" s="4" t="s">
        <v>9</v>
      </c>
      <c r="G44" s="5" t="s">
        <v>129</v>
      </c>
      <c r="H44">
        <v>0</v>
      </c>
      <c r="R44" s="5" t="str">
        <v>ValuationInClientCurrency</v>
      </c>
      <c r="S44" s="5" t="str">
        <v/>
      </c>
      <c r="T44" s="5" t="str">
        <v>Valuation in BP currency</v>
      </c>
      <c r="U44" s="5" t="str">
        <v/>
      </c>
    </row>
    <row r="45" spans="1:21">
      <c r="A45" s="4" t="s">
        <v>227</v>
      </c>
      <c r="B45" t="s">
        <v>28</v>
      </c>
      <c r="C45" t="s">
        <v>161</v>
      </c>
      <c r="F45" s="4" t="s">
        <v>79</v>
      </c>
      <c r="G45" s="5" t="s">
        <v>130</v>
      </c>
      <c r="H45">
        <v>3901923.66</v>
      </c>
      <c r="R45" s="5" t="str">
        <v>ValuationInLocalCurrency</v>
      </c>
      <c r="S45" s="5" t="str">
        <v/>
      </c>
      <c r="T45" s="5" t="str">
        <v>Valuation in BU currency</v>
      </c>
      <c r="U45" s="5" t="str">
        <v/>
      </c>
    </row>
    <row r="46" spans="1:21">
      <c r="A46" s="4" t="s">
        <v>229</v>
      </c>
      <c r="B46" t="s">
        <v>29</v>
      </c>
      <c r="C46" t="s">
        <v>161</v>
      </c>
      <c r="G46" s="5" t="s">
        <v>131</v>
      </c>
      <c r="H46">
        <v>0</v>
      </c>
      <c r="R46" s="5" t="str">
        <v>Weight</v>
      </c>
      <c r="S46" s="5" t="str">
        <v/>
      </c>
      <c r="T46" s="5" t="str">
        <v>Weight</v>
      </c>
      <c r="U46" s="5" t="str">
        <v/>
      </c>
    </row>
    <row r="47" spans="1:21">
      <c r="A47" s="4" t="s">
        <v>30</v>
      </c>
      <c r="B47" t="s">
        <v>30</v>
      </c>
      <c r="C47" t="s">
        <v>161</v>
      </c>
      <c r="F47" s="4" t="s">
        <v>233</v>
      </c>
      <c r="G47" s="5" t="s">
        <v>132</v>
      </c>
      <c r="H47">
        <v>3683654.97</v>
      </c>
      <c r="R47" s="5">
        <v>0</v>
      </c>
      <c r="S47" s="9" t="str">
        <v/>
      </c>
      <c r="T47" s="5" t="str">
        <v/>
      </c>
      <c r="U47" s="5" t="str">
        <v/>
      </c>
    </row>
    <row r="48" spans="1:21">
      <c r="B48" s="7" t="s">
        <v>31</v>
      </c>
      <c r="C48" t="s">
        <v>161</v>
      </c>
      <c r="G48" s="5" t="s">
        <v>133</v>
      </c>
      <c r="H48">
        <v>0</v>
      </c>
      <c r="R48" s="5"/>
      <c r="S48" s="5"/>
      <c r="T48" s="5"/>
      <c r="U48" s="5"/>
    </row>
    <row r="49" spans="1:8">
      <c r="A49" s="4" t="s">
        <v>32</v>
      </c>
      <c r="B49" t="s">
        <v>32</v>
      </c>
      <c r="C49" t="s">
        <v>161</v>
      </c>
      <c r="F49" s="4" t="s">
        <v>234</v>
      </c>
      <c r="G49" s="5" t="s">
        <v>134</v>
      </c>
      <c r="H49">
        <v>3683654.9561999999</v>
      </c>
    </row>
    <row r="50" spans="1:8">
      <c r="B50" t="s">
        <v>33</v>
      </c>
      <c r="C50" t="s">
        <v>161</v>
      </c>
      <c r="G50" s="5" t="s">
        <v>135</v>
      </c>
      <c r="H50">
        <v>0</v>
      </c>
    </row>
    <row r="51" spans="1:8">
      <c r="A51" s="4" t="s">
        <v>230</v>
      </c>
      <c r="B51" t="s">
        <v>34</v>
      </c>
      <c r="C51" t="s">
        <v>161</v>
      </c>
      <c r="F51" s="4" t="s">
        <v>235</v>
      </c>
      <c r="G51" s="5" t="s">
        <v>136</v>
      </c>
      <c r="H51">
        <v>3683654.97</v>
      </c>
    </row>
    <row r="52" spans="1:8">
      <c r="A52" s="4" t="s">
        <v>35</v>
      </c>
      <c r="B52" t="s">
        <v>35</v>
      </c>
      <c r="C52" t="s">
        <v>161</v>
      </c>
      <c r="D52">
        <v>9</v>
      </c>
      <c r="G52" s="5" t="s">
        <v>137</v>
      </c>
      <c r="H52">
        <v>0</v>
      </c>
    </row>
    <row r="53" spans="1:8">
      <c r="B53" t="s">
        <v>36</v>
      </c>
      <c r="C53" t="s">
        <v>161</v>
      </c>
      <c r="D53">
        <v>45853</v>
      </c>
      <c r="G53" s="5" t="s">
        <v>138</v>
      </c>
    </row>
    <row r="54" spans="1:8" ht="15">
      <c r="A54" s="3"/>
      <c r="B54" t="s">
        <v>37</v>
      </c>
      <c r="C54" t="s">
        <v>161</v>
      </c>
      <c r="D54">
        <v>45138</v>
      </c>
      <c r="F54" s="4" t="s">
        <v>154</v>
      </c>
      <c r="G54" s="5" t="s">
        <v>139</v>
      </c>
    </row>
    <row r="55" spans="1:8">
      <c r="B55" t="s">
        <v>38</v>
      </c>
      <c r="C55" t="s">
        <v>161</v>
      </c>
      <c r="D55">
        <v>100</v>
      </c>
      <c r="F55" s="4" t="s">
        <v>155</v>
      </c>
      <c r="G55" s="5" t="s">
        <v>140</v>
      </c>
    </row>
    <row r="56" spans="1:8">
      <c r="B56" s="7" t="s">
        <v>39</v>
      </c>
      <c r="C56" t="s">
        <v>161</v>
      </c>
      <c r="D56" t="s">
        <v>192</v>
      </c>
      <c r="F56" s="4" t="s">
        <v>227</v>
      </c>
      <c r="G56" s="5" t="s">
        <v>141</v>
      </c>
    </row>
    <row r="57" spans="1:8">
      <c r="B57" t="s">
        <v>40</v>
      </c>
      <c r="C57" t="s">
        <v>161</v>
      </c>
      <c r="D57" t="s">
        <v>215</v>
      </c>
      <c r="F57" s="4" t="s">
        <v>30</v>
      </c>
      <c r="G57" s="5" t="s">
        <v>84</v>
      </c>
    </row>
    <row r="58" spans="1:8">
      <c r="B58" t="s">
        <v>41</v>
      </c>
      <c r="C58" t="s">
        <v>161</v>
      </c>
      <c r="D58" t="s">
        <v>56</v>
      </c>
      <c r="G58" s="5" t="s">
        <v>142</v>
      </c>
    </row>
    <row r="59" spans="1:8">
      <c r="B59" t="s">
        <v>42</v>
      </c>
      <c r="C59" t="s">
        <v>161</v>
      </c>
      <c r="D59" t="s">
        <v>216</v>
      </c>
    </row>
    <row r="60" spans="1:8">
      <c r="B60" t="s">
        <v>43</v>
      </c>
      <c r="C60" t="s">
        <v>161</v>
      </c>
    </row>
    <row r="61" spans="1:8">
      <c r="B61" t="s">
        <v>44</v>
      </c>
      <c r="C61" t="s">
        <v>161</v>
      </c>
      <c r="D61" t="s">
        <v>170</v>
      </c>
    </row>
    <row r="62" spans="1:8">
      <c r="B62" t="s">
        <v>45</v>
      </c>
      <c r="C62" t="s">
        <v>161</v>
      </c>
      <c r="D62" t="s">
        <v>170</v>
      </c>
    </row>
    <row r="63" spans="1:8">
      <c r="B63" t="s">
        <v>47</v>
      </c>
      <c r="C63" t="s">
        <v>161</v>
      </c>
      <c r="D63" t="s">
        <v>56</v>
      </c>
    </row>
    <row r="64" spans="1:8">
      <c r="B64" t="s">
        <v>48</v>
      </c>
      <c r="C64" t="s">
        <v>161</v>
      </c>
    </row>
    <row r="65" spans="2:4">
      <c r="B65" t="s">
        <v>49</v>
      </c>
      <c r="C65" t="s">
        <v>161</v>
      </c>
    </row>
    <row r="66" spans="2:4">
      <c r="B66" t="s">
        <v>50</v>
      </c>
      <c r="C66" t="s">
        <v>161</v>
      </c>
      <c r="D66">
        <v>0</v>
      </c>
    </row>
    <row r="67" spans="2:4">
      <c r="B67" t="s">
        <v>51</v>
      </c>
      <c r="C67" t="s">
        <v>161</v>
      </c>
      <c r="D67">
        <v>0</v>
      </c>
    </row>
  </sheetData>
  <sortState xmlns:xlrd2="http://schemas.microsoft.com/office/spreadsheetml/2017/richdata2" ref="J5:L34">
    <sortCondition ref="K5:K34"/>
  </sortState>
  <conditionalFormatting sqref="A1:A1048576 J1:J1048576 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Agret</dc:creator>
  <cp:lastModifiedBy>Alexandre Agret</cp:lastModifiedBy>
  <dcterms:created xsi:type="dcterms:W3CDTF">2025-02-18T13:45:53Z</dcterms:created>
  <dcterms:modified xsi:type="dcterms:W3CDTF">2025-02-21T16:12:21Z</dcterms:modified>
</cp:coreProperties>
</file>