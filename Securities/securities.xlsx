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S\Securities\"/>
    </mc:Choice>
  </mc:AlternateContent>
  <xr:revisionPtr revIDLastSave="0" documentId="13_ncr:1_{529313DC-DBD2-4FE8-AA0B-43ED7DF0793B}" xr6:coauthVersionLast="47" xr6:coauthVersionMax="47" xr10:uidLastSave="{00000000-0000-0000-0000-000000000000}"/>
  <bookViews>
    <workbookView xWindow="61845" yWindow="5070" windowWidth="35055" windowHeight="20025" activeTab="1" xr2:uid="{29DDE7C6-0F5D-4CDD-9AB2-8AC4E7AE19B6}"/>
  </bookViews>
  <sheets>
    <sheet name="Bloomberg" sheetId="1" r:id="rId1"/>
    <sheet name="Clean" sheetId="2" r:id="rId2"/>
  </sheets>
  <definedNames>
    <definedName name="_xlnm._FilterDatabase" localSheetId="0" hidden="1">Bloomberg!$A$1:$L$144</definedName>
    <definedName name="_xlnm._FilterDatabase" localSheetId="1" hidden="1">Clean!$A$1:$G$232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" i="1" l="1" a="1"/>
  <c r="I146" i="1"/>
  <c r="H146" i="1" a="1"/>
  <c r="H146" i="1"/>
  <c r="D146" i="1" a="1"/>
  <c r="D146" i="1"/>
  <c r="C146" i="1" a="1"/>
  <c r="C146" i="1"/>
  <c r="E146" i="1" a="1"/>
  <c r="E146" i="1"/>
  <c r="G146" i="1" a="1"/>
  <c r="G146" i="1"/>
  <c r="F146" i="1" a="1"/>
  <c r="F146" i="1"/>
  <c r="B146" i="1"/>
  <c r="I145" i="1" a="1"/>
  <c r="I145" i="1" l="1"/>
  <c r="H145" i="1" a="1"/>
  <c r="H145" i="1" l="1"/>
  <c r="G145" i="1" a="1"/>
  <c r="G145" i="1" l="1"/>
  <c r="F145" i="1" a="1"/>
  <c r="F145" i="1"/>
  <c r="C145" i="1" a="1"/>
  <c r="C145" i="1"/>
  <c r="E145" i="1" a="1"/>
  <c r="E145" i="1"/>
  <c r="B145" i="1"/>
  <c r="D145" i="1" a="1"/>
  <c r="D145" i="1"/>
  <c r="E133" i="1" a="1"/>
  <c r="E134" i="1" a="1"/>
  <c r="G4" i="1" a="1"/>
  <c r="E134" i="1" l="1"/>
  <c r="E133" i="1"/>
  <c r="G4" i="1"/>
  <c r="F4" i="1" a="1"/>
  <c r="H20" i="2" l="1" a="1"/>
  <c r="H20" i="2" s="1"/>
  <c r="F4" i="1"/>
  <c r="I4" i="1" l="1" a="1"/>
  <c r="I4" i="1" s="1"/>
  <c r="H4" i="1" a="1"/>
  <c r="H4" i="1" s="1"/>
  <c r="B80" i="1"/>
  <c r="G80" i="1" a="1"/>
  <c r="E80" i="1" a="1"/>
  <c r="F80" i="1" a="1"/>
  <c r="D80" i="1" a="1"/>
  <c r="C80" i="1" a="1"/>
  <c r="G80" i="1" l="1"/>
  <c r="F80" i="1"/>
  <c r="E80" i="1"/>
  <c r="C80" i="1"/>
  <c r="D80" i="1"/>
  <c r="B89" i="1"/>
  <c r="B88" i="1"/>
  <c r="B87" i="1"/>
  <c r="B86" i="1"/>
  <c r="G89" i="1" a="1"/>
  <c r="G86" i="1" a="1"/>
  <c r="G88" i="1" a="1"/>
  <c r="G87" i="1" a="1"/>
  <c r="E89" i="1" a="1"/>
  <c r="F89" i="1" a="1"/>
  <c r="E88" i="1" a="1"/>
  <c r="F88" i="1" a="1"/>
  <c r="E87" i="1" a="1"/>
  <c r="F87" i="1" a="1"/>
  <c r="E86" i="1" a="1"/>
  <c r="F86" i="1" a="1"/>
  <c r="D89" i="1" a="1"/>
  <c r="D87" i="1" a="1"/>
  <c r="D86" i="1" a="1"/>
  <c r="C88" i="1" a="1"/>
  <c r="C87" i="1" a="1"/>
  <c r="C89" i="1" a="1"/>
  <c r="D88" i="1" a="1"/>
  <c r="C86" i="1" a="1"/>
  <c r="G87" i="1" l="1"/>
  <c r="G88" i="1"/>
  <c r="G86" i="1"/>
  <c r="G89" i="1"/>
  <c r="H80" i="1" a="1"/>
  <c r="H80" i="1" s="1"/>
  <c r="I80" i="1" a="1"/>
  <c r="I80" i="1" s="1"/>
  <c r="F86" i="1"/>
  <c r="E86" i="1"/>
  <c r="F87" i="1"/>
  <c r="E87" i="1"/>
  <c r="F88" i="1"/>
  <c r="E88" i="1"/>
  <c r="F89" i="1"/>
  <c r="E89" i="1"/>
  <c r="C86" i="1"/>
  <c r="D88" i="1"/>
  <c r="C89" i="1"/>
  <c r="C87" i="1"/>
  <c r="C88" i="1"/>
  <c r="D86" i="1"/>
  <c r="D87" i="1"/>
  <c r="D89" i="1"/>
  <c r="B94" i="1"/>
  <c r="B93" i="1"/>
  <c r="B92" i="1"/>
  <c r="B91" i="1"/>
  <c r="G91" i="1" a="1"/>
  <c r="G94" i="1" a="1"/>
  <c r="G93" i="1" a="1"/>
  <c r="G92" i="1" a="1"/>
  <c r="E94" i="1" a="1"/>
  <c r="F94" i="1" a="1"/>
  <c r="E92" i="1" a="1"/>
  <c r="F92" i="1" a="1"/>
  <c r="E93" i="1" a="1"/>
  <c r="F93" i="1" a="1"/>
  <c r="E91" i="1" a="1"/>
  <c r="F91" i="1" a="1"/>
  <c r="C93" i="1" a="1"/>
  <c r="C94" i="1" a="1"/>
  <c r="C91" i="1" a="1"/>
  <c r="C92" i="1" a="1"/>
  <c r="G92" i="1" l="1"/>
  <c r="G93" i="1"/>
  <c r="G94" i="1"/>
  <c r="G91" i="1"/>
  <c r="H89" i="1" a="1"/>
  <c r="H89" i="1" s="1"/>
  <c r="I89" i="1" a="1"/>
  <c r="I89" i="1" s="1"/>
  <c r="I86" i="1" a="1"/>
  <c r="I86" i="1" s="1"/>
  <c r="H86" i="1" a="1"/>
  <c r="H86" i="1" s="1"/>
  <c r="H88" i="1" a="1"/>
  <c r="H88" i="1" s="1"/>
  <c r="I88" i="1" a="1"/>
  <c r="I88" i="1" s="1"/>
  <c r="H87" i="1" a="1"/>
  <c r="H87" i="1" s="1"/>
  <c r="I87" i="1" a="1"/>
  <c r="I87" i="1" s="1"/>
  <c r="F91" i="1"/>
  <c r="E91" i="1"/>
  <c r="F93" i="1"/>
  <c r="E93" i="1"/>
  <c r="F92" i="1"/>
  <c r="E92" i="1"/>
  <c r="F94" i="1"/>
  <c r="E94" i="1"/>
  <c r="C92" i="1"/>
  <c r="C91" i="1"/>
  <c r="C94" i="1"/>
  <c r="C93" i="1"/>
  <c r="B129" i="1"/>
  <c r="B128" i="1"/>
  <c r="G129" i="1" a="1"/>
  <c r="G128" i="1" a="1"/>
  <c r="C129" i="1" a="1"/>
  <c r="E129" i="1" a="1"/>
  <c r="F129" i="1" a="1"/>
  <c r="C128" i="1" a="1"/>
  <c r="E128" i="1" a="1"/>
  <c r="F128" i="1" a="1"/>
  <c r="G128" i="1" l="1"/>
  <c r="G129" i="1"/>
  <c r="I94" i="1" a="1"/>
  <c r="I94" i="1" s="1"/>
  <c r="H94" i="1" a="1"/>
  <c r="H94" i="1" s="1"/>
  <c r="I92" i="1" a="1"/>
  <c r="I92" i="1" s="1"/>
  <c r="H92" i="1" a="1"/>
  <c r="H92" i="1" s="1"/>
  <c r="H93" i="1" a="1"/>
  <c r="H93" i="1" s="1"/>
  <c r="I93" i="1" a="1"/>
  <c r="I93" i="1" s="1"/>
  <c r="I91" i="1" a="1"/>
  <c r="I91" i="1" s="1"/>
  <c r="H91" i="1" a="1"/>
  <c r="H91" i="1" s="1"/>
  <c r="F128" i="1"/>
  <c r="E128" i="1"/>
  <c r="C128" i="1"/>
  <c r="F129" i="1"/>
  <c r="E129" i="1"/>
  <c r="C129" i="1"/>
  <c r="B143" i="1"/>
  <c r="G143" i="1" a="1"/>
  <c r="E143" i="1" a="1"/>
  <c r="F143" i="1" a="1"/>
  <c r="C143" i="1" a="1"/>
  <c r="G143" i="1" l="1"/>
  <c r="H129" i="1" a="1"/>
  <c r="H129" i="1" s="1"/>
  <c r="I129" i="1" a="1"/>
  <c r="I129" i="1" s="1"/>
  <c r="I128" i="1" a="1"/>
  <c r="I128" i="1" s="1"/>
  <c r="H128" i="1" a="1"/>
  <c r="H128" i="1" s="1"/>
  <c r="F143" i="1"/>
  <c r="E143" i="1"/>
  <c r="C143" i="1"/>
  <c r="B144" i="1"/>
  <c r="G144" i="1" a="1"/>
  <c r="E144" i="1" a="1"/>
  <c r="C144" i="1" a="1"/>
  <c r="F144" i="1" a="1"/>
  <c r="G144" i="1" l="1"/>
  <c r="H143" i="1" a="1"/>
  <c r="H143" i="1" s="1"/>
  <c r="I143" i="1" a="1"/>
  <c r="I143" i="1" s="1"/>
  <c r="F144" i="1"/>
  <c r="C144" i="1"/>
  <c r="E144" i="1"/>
  <c r="E4" i="1" a="1"/>
  <c r="H144" i="1" l="1" a="1"/>
  <c r="H144" i="1" s="1"/>
  <c r="I144" i="1" a="1"/>
  <c r="I144" i="1" s="1"/>
  <c r="E4" i="1"/>
  <c r="C4" i="1" a="1"/>
  <c r="C4" i="1" l="1"/>
  <c r="D4" i="1" a="1"/>
  <c r="D4" i="1"/>
  <c r="C141" i="1" a="1"/>
  <c r="C141" i="1" l="1"/>
  <c r="C142" i="1" a="1"/>
  <c r="C142" i="1"/>
  <c r="C69" i="1" a="1"/>
  <c r="C69" i="1" l="1"/>
  <c r="K69" i="1" s="1"/>
  <c r="C105" i="1" a="1"/>
  <c r="C105" i="1"/>
  <c r="K105" i="1" s="1"/>
  <c r="C112" i="1" a="1"/>
  <c r="C112" i="1"/>
  <c r="K112" i="1" s="1"/>
  <c r="C98" i="1" a="1"/>
  <c r="C98" i="1"/>
  <c r="K98" i="1" s="1"/>
  <c r="C90" i="1" a="1"/>
  <c r="C90" i="1"/>
  <c r="K90" i="1" s="1"/>
  <c r="C50" i="1" a="1"/>
  <c r="C50" i="1"/>
  <c r="K50" i="1" s="1"/>
  <c r="C113" i="1" a="1"/>
  <c r="C113" i="1"/>
  <c r="K113" i="1" s="1"/>
  <c r="C75" i="1" a="1"/>
  <c r="C75" i="1"/>
  <c r="K75" i="1" s="1"/>
  <c r="C114" i="1" a="1"/>
  <c r="C114" i="1"/>
  <c r="K114" i="1" s="1"/>
  <c r="C84" i="1" a="1"/>
  <c r="C84" i="1"/>
  <c r="K84" i="1" s="1"/>
  <c r="C76" i="1" a="1"/>
  <c r="C76" i="1"/>
  <c r="C103" i="1" a="1"/>
  <c r="C103" i="1"/>
  <c r="K103" i="1" s="1"/>
  <c r="C135" i="1" a="1"/>
  <c r="C135" i="1"/>
  <c r="C71" i="1" a="1"/>
  <c r="C71" i="1"/>
  <c r="K71" i="1" s="1"/>
  <c r="C83" i="1" a="1"/>
  <c r="C83" i="1"/>
  <c r="K83" i="1" s="1"/>
  <c r="C100" i="1" a="1"/>
  <c r="C100" i="1"/>
  <c r="K100" i="1" s="1"/>
  <c r="C58" i="1" a="1"/>
  <c r="C58" i="1"/>
  <c r="K58" i="1" s="1"/>
  <c r="C117" i="1" a="1"/>
  <c r="C117" i="1"/>
  <c r="K117" i="1" s="1"/>
  <c r="C133" i="1" a="1"/>
  <c r="C133" i="1"/>
  <c r="K133" i="1" s="1"/>
  <c r="C116" i="1" a="1"/>
  <c r="C116" i="1"/>
  <c r="K116" i="1" s="1"/>
  <c r="C106" i="1" a="1"/>
  <c r="C106" i="1"/>
  <c r="K106" i="1" s="1"/>
  <c r="C118" i="1" a="1"/>
  <c r="C118" i="1"/>
  <c r="K118" i="1" s="1"/>
  <c r="C99" i="1" a="1"/>
  <c r="C99" i="1"/>
  <c r="K99" i="1" s="1"/>
  <c r="C85" i="1" a="1"/>
  <c r="C85" i="1"/>
  <c r="K85" i="1" s="1"/>
  <c r="C125" i="1" a="1"/>
  <c r="C125" i="1"/>
  <c r="K125" i="1" s="1"/>
  <c r="C54" i="1" a="1"/>
  <c r="C54" i="1"/>
  <c r="K54" i="1" s="1"/>
  <c r="C137" i="1" a="1"/>
  <c r="C137" i="1"/>
  <c r="C63" i="1" a="1"/>
  <c r="C63" i="1"/>
  <c r="K63" i="1" s="1"/>
  <c r="C72" i="1" a="1"/>
  <c r="C72" i="1"/>
  <c r="K72" i="1" s="1"/>
  <c r="C110" i="1" a="1"/>
  <c r="C110" i="1"/>
  <c r="K110" i="1" s="1"/>
  <c r="C57" i="1" a="1"/>
  <c r="C57" i="1"/>
  <c r="K57" i="1" s="1"/>
  <c r="C132" i="1" a="1"/>
  <c r="C132" i="1"/>
  <c r="C73" i="1" a="1"/>
  <c r="C73" i="1"/>
  <c r="K73" i="1" s="1"/>
  <c r="C74" i="1" a="1"/>
  <c r="C74" i="1"/>
  <c r="K74" i="1" s="1"/>
  <c r="C82" i="1" a="1"/>
  <c r="C82" i="1"/>
  <c r="K82" i="1" s="1"/>
  <c r="C79" i="1" a="1"/>
  <c r="C79" i="1"/>
  <c r="K79" i="1" s="1"/>
  <c r="C97" i="1" a="1"/>
  <c r="C97" i="1"/>
  <c r="K97" i="1" s="1"/>
  <c r="C68" i="1" a="1"/>
  <c r="C68" i="1"/>
  <c r="K68" i="1" s="1"/>
  <c r="C61" i="1" a="1"/>
  <c r="C61" i="1"/>
  <c r="K61" i="1" s="1"/>
  <c r="C96" i="1" a="1"/>
  <c r="C96" i="1"/>
  <c r="K96" i="1" s="1"/>
  <c r="C70" i="1" a="1"/>
  <c r="C70" i="1"/>
  <c r="K70" i="1" s="1"/>
  <c r="C101" i="1" a="1"/>
  <c r="C101" i="1"/>
  <c r="K101" i="1" s="1"/>
  <c r="C138" i="1" a="1"/>
  <c r="C138" i="1"/>
  <c r="C120" i="1" a="1"/>
  <c r="C120" i="1"/>
  <c r="K120" i="1" s="1"/>
  <c r="C140" i="1" a="1"/>
  <c r="C140" i="1"/>
  <c r="C126" i="1" a="1"/>
  <c r="C126" i="1"/>
  <c r="K126" i="1" s="1"/>
  <c r="C131" i="1" a="1"/>
  <c r="C131" i="1"/>
  <c r="C108" i="1" a="1"/>
  <c r="C108" i="1"/>
  <c r="K108" i="1" s="1"/>
  <c r="C111" i="1" a="1"/>
  <c r="C111" i="1"/>
  <c r="K111" i="1" s="1"/>
  <c r="C67" i="1" a="1"/>
  <c r="C67" i="1"/>
  <c r="K67" i="1" s="1"/>
  <c r="C62" i="1" a="1"/>
  <c r="C62" i="1"/>
  <c r="K62" i="1" s="1"/>
  <c r="C95" i="1" a="1"/>
  <c r="C95" i="1"/>
  <c r="K95" i="1" s="1"/>
  <c r="C130" i="1" a="1"/>
  <c r="C130" i="1"/>
  <c r="C109" i="1" a="1"/>
  <c r="C109" i="1"/>
  <c r="K109" i="1" s="1"/>
  <c r="C51" i="1" a="1"/>
  <c r="C51" i="1"/>
  <c r="K51" i="1" s="1"/>
  <c r="C53" i="1" a="1"/>
  <c r="C53" i="1"/>
  <c r="K53" i="1" s="1"/>
  <c r="C121" i="1" a="1"/>
  <c r="C121" i="1"/>
  <c r="K121" i="1" s="1"/>
  <c r="C102" i="1" a="1"/>
  <c r="C102" i="1"/>
  <c r="K102" i="1" s="1"/>
  <c r="C81" i="1" a="1"/>
  <c r="C81" i="1"/>
  <c r="K81" i="1" s="1"/>
  <c r="C48" i="1" a="1"/>
  <c r="C48" i="1"/>
  <c r="K48" i="1" s="1"/>
  <c r="C104" i="1" a="1"/>
  <c r="C104" i="1"/>
  <c r="K104" i="1" s="1"/>
  <c r="C77" i="1" a="1"/>
  <c r="C77" i="1"/>
  <c r="K77" i="1" s="1"/>
  <c r="C139" i="1" a="1"/>
  <c r="C139" i="1"/>
  <c r="C127" i="1" a="1"/>
  <c r="C127" i="1"/>
  <c r="K127" i="1" s="1"/>
  <c r="C78" i="1" a="1"/>
  <c r="C78" i="1"/>
  <c r="K78" i="1" s="1"/>
  <c r="C122" i="1" a="1"/>
  <c r="C122" i="1"/>
  <c r="K122" i="1" s="1"/>
  <c r="C119" i="1" a="1"/>
  <c r="C119" i="1"/>
  <c r="K119" i="1" s="1"/>
  <c r="C52" i="1" a="1"/>
  <c r="C52" i="1"/>
  <c r="K52" i="1" s="1"/>
  <c r="C107" i="1" a="1"/>
  <c r="C107" i="1"/>
  <c r="K107" i="1" s="1"/>
  <c r="C123" i="1" a="1"/>
  <c r="C123" i="1"/>
  <c r="K123" i="1" s="1"/>
  <c r="C49" i="1" a="1"/>
  <c r="C49" i="1"/>
  <c r="K49" i="1" s="1"/>
  <c r="C124" i="1" a="1"/>
  <c r="C124" i="1"/>
  <c r="K124" i="1" s="1"/>
  <c r="C66" i="1" a="1"/>
  <c r="C66" i="1"/>
  <c r="K66" i="1" s="1"/>
  <c r="C64" i="1" a="1"/>
  <c r="C64" i="1"/>
  <c r="K64" i="1" s="1"/>
  <c r="C55" i="1" a="1"/>
  <c r="C55" i="1"/>
  <c r="K55" i="1" s="1"/>
  <c r="C134" i="1" a="1"/>
  <c r="C134" i="1"/>
  <c r="K134" i="1" s="1"/>
  <c r="C136" i="1" a="1"/>
  <c r="C136" i="1"/>
  <c r="C115" i="1" a="1"/>
  <c r="C115" i="1"/>
  <c r="K115" i="1" s="1"/>
  <c r="C40" i="1" a="1"/>
  <c r="C60" i="1" a="1"/>
  <c r="C56" i="1" a="1"/>
  <c r="C65" i="1" a="1"/>
  <c r="C59" i="1" a="1"/>
  <c r="C65" i="1" l="1"/>
  <c r="K65" i="1" s="1"/>
  <c r="C56" i="1"/>
  <c r="K56" i="1" s="1"/>
  <c r="C59" i="1"/>
  <c r="K59" i="1" s="1"/>
  <c r="C60" i="1"/>
  <c r="K60" i="1" s="1"/>
  <c r="C40" i="1"/>
  <c r="K40" i="1" s="1"/>
  <c r="C27" i="1" a="1"/>
  <c r="C27" i="1"/>
  <c r="K27" i="1" s="1"/>
  <c r="C19" i="1" a="1"/>
  <c r="C19" i="1"/>
  <c r="K19" i="1" s="1"/>
  <c r="C23" i="1" a="1"/>
  <c r="C23" i="1"/>
  <c r="K23" i="1" s="1"/>
  <c r="C3" i="1" a="1"/>
  <c r="C3" i="1"/>
  <c r="K3" i="1" s="1"/>
  <c r="C44" i="1" a="1"/>
  <c r="C44" i="1"/>
  <c r="K44" i="1" s="1"/>
  <c r="C10" i="1" a="1"/>
  <c r="C10" i="1"/>
  <c r="K10" i="1" s="1"/>
  <c r="C18" i="1" a="1"/>
  <c r="C18" i="1"/>
  <c r="K18" i="1" s="1"/>
  <c r="C34" i="1" a="1"/>
  <c r="C34" i="1"/>
  <c r="K34" i="1" s="1"/>
  <c r="C7" i="1" a="1"/>
  <c r="C7" i="1"/>
  <c r="K7" i="1" s="1"/>
  <c r="C8" i="1" a="1"/>
  <c r="C8" i="1"/>
  <c r="K8" i="1" s="1"/>
  <c r="C15" i="1" a="1"/>
  <c r="C15" i="1"/>
  <c r="K15" i="1" s="1"/>
  <c r="C46" i="1" a="1"/>
  <c r="C46" i="1"/>
  <c r="K46" i="1" s="1"/>
  <c r="C37" i="1" a="1"/>
  <c r="C37" i="1"/>
  <c r="K37" i="1" s="1"/>
  <c r="C43" i="1" a="1"/>
  <c r="C43" i="1"/>
  <c r="K43" i="1" s="1"/>
  <c r="C13" i="1" a="1"/>
  <c r="C13" i="1"/>
  <c r="K13" i="1" s="1"/>
  <c r="C24" i="1" a="1"/>
  <c r="C24" i="1"/>
  <c r="K24" i="1" s="1"/>
  <c r="C36" i="1" a="1"/>
  <c r="C36" i="1"/>
  <c r="K36" i="1" s="1"/>
  <c r="C41" i="1" a="1"/>
  <c r="C41" i="1"/>
  <c r="K41" i="1" s="1"/>
  <c r="C12" i="1" a="1"/>
  <c r="C12" i="1"/>
  <c r="K12" i="1" s="1"/>
  <c r="C5" i="1" a="1"/>
  <c r="C5" i="1"/>
  <c r="K5" i="1" s="1"/>
  <c r="C38" i="1" a="1"/>
  <c r="C38" i="1"/>
  <c r="K38" i="1" s="1"/>
  <c r="C47" i="1" a="1"/>
  <c r="C47" i="1"/>
  <c r="K47" i="1" s="1"/>
  <c r="C29" i="1" a="1"/>
  <c r="C29" i="1"/>
  <c r="K29" i="1" s="1"/>
  <c r="C14" i="1" a="1"/>
  <c r="C14" i="1"/>
  <c r="K14" i="1" s="1"/>
  <c r="C26" i="1" a="1"/>
  <c r="C26" i="1"/>
  <c r="K26" i="1" s="1"/>
  <c r="C28" i="1" a="1"/>
  <c r="C28" i="1"/>
  <c r="K28" i="1" s="1"/>
  <c r="C45" i="1" a="1"/>
  <c r="C45" i="1"/>
  <c r="K45" i="1" s="1"/>
  <c r="C33" i="1" a="1"/>
  <c r="C33" i="1"/>
  <c r="K33" i="1" s="1"/>
  <c r="C11" i="1" a="1"/>
  <c r="C11" i="1"/>
  <c r="K11" i="1" s="1"/>
  <c r="C25" i="1" a="1"/>
  <c r="C25" i="1"/>
  <c r="K25" i="1" s="1"/>
  <c r="C16" i="1" a="1"/>
  <c r="C16" i="1"/>
  <c r="K16" i="1" s="1"/>
  <c r="C35" i="1" a="1"/>
  <c r="C35" i="1"/>
  <c r="K35" i="1" s="1"/>
  <c r="C39" i="1" a="1"/>
  <c r="C39" i="1"/>
  <c r="K39" i="1" s="1"/>
  <c r="C9" i="1" a="1"/>
  <c r="C9" i="1"/>
  <c r="K9" i="1" s="1"/>
  <c r="C31" i="1" a="1"/>
  <c r="C31" i="1"/>
  <c r="K31" i="1" s="1"/>
  <c r="C20" i="1" a="1"/>
  <c r="C20" i="1"/>
  <c r="K20" i="1" s="1"/>
  <c r="C32" i="1" a="1"/>
  <c r="C32" i="1"/>
  <c r="K32" i="1" s="1"/>
  <c r="C17" i="1" a="1"/>
  <c r="C17" i="1"/>
  <c r="K17" i="1" s="1"/>
  <c r="C6" i="1" a="1"/>
  <c r="C6" i="1"/>
  <c r="K6" i="1" s="1"/>
  <c r="C30" i="1" a="1"/>
  <c r="C30" i="1"/>
  <c r="K30" i="1" s="1"/>
  <c r="C21" i="1" a="1"/>
  <c r="C21" i="1"/>
  <c r="K21" i="1" s="1"/>
  <c r="C22" i="1" a="1"/>
  <c r="C22" i="1"/>
  <c r="K22" i="1" s="1"/>
  <c r="C42" i="1" a="1"/>
  <c r="C42" i="1"/>
  <c r="K42" i="1" s="1"/>
  <c r="C2" i="1" a="1"/>
  <c r="C2" i="1" l="1"/>
  <c r="K2" i="1" s="1"/>
  <c r="D17" i="1" a="1"/>
  <c r="D17" i="1" l="1"/>
  <c r="D82" i="1" a="1"/>
  <c r="D82" i="1"/>
  <c r="D130" i="1" a="1"/>
  <c r="D130" i="1"/>
  <c r="D18" i="1" a="1"/>
  <c r="D18" i="1"/>
  <c r="D26" i="1" a="1"/>
  <c r="D26" i="1"/>
  <c r="D41" i="1" a="1"/>
  <c r="D41" i="1"/>
  <c r="D114" i="1" a="1"/>
  <c r="D114" i="1"/>
  <c r="D62" i="1" a="1"/>
  <c r="D62" i="1"/>
  <c r="D98" i="1" a="1"/>
  <c r="D98" i="1"/>
  <c r="D143" i="1" a="1"/>
  <c r="D143" i="1"/>
  <c r="D110" i="1" a="1"/>
  <c r="D110" i="1"/>
  <c r="D66" i="1" a="1"/>
  <c r="D66" i="1"/>
  <c r="D16" i="1" a="1"/>
  <c r="D16" i="1"/>
  <c r="D109" i="1" a="1"/>
  <c r="D109" i="1"/>
  <c r="D34" i="1" a="1"/>
  <c r="D34" i="1"/>
  <c r="D129" i="1" a="1"/>
  <c r="D129" i="1"/>
  <c r="D50" i="1" a="1"/>
  <c r="D50" i="1"/>
  <c r="D15" i="1" a="1"/>
  <c r="D15" i="1"/>
  <c r="D113" i="1" a="1"/>
  <c r="D113" i="1"/>
  <c r="D48" i="1" a="1"/>
  <c r="D48" i="1"/>
  <c r="D64" i="1" a="1"/>
  <c r="D64" i="1"/>
  <c r="D141" i="1" a="1"/>
  <c r="D141" i="1"/>
  <c r="D97" i="1" a="1"/>
  <c r="D97" i="1"/>
  <c r="D12" i="1" a="1"/>
  <c r="D12" i="1"/>
  <c r="D33" i="1" a="1"/>
  <c r="D33" i="1"/>
  <c r="D49" i="1" a="1"/>
  <c r="D49" i="1"/>
  <c r="D32" i="1" a="1"/>
  <c r="D32" i="1"/>
  <c r="D30" i="1" a="1"/>
  <c r="D30" i="1"/>
  <c r="D111" i="1" a="1"/>
  <c r="D111" i="1"/>
  <c r="D128" i="1" a="1"/>
  <c r="D128" i="1"/>
  <c r="D81" i="1" a="1"/>
  <c r="D81" i="1"/>
  <c r="D96" i="1" a="1"/>
  <c r="D96" i="1"/>
  <c r="D126" i="1" a="1"/>
  <c r="D126" i="1"/>
  <c r="D45" i="1" a="1"/>
  <c r="D45" i="1"/>
  <c r="D65" i="1" a="1"/>
  <c r="D65" i="1"/>
  <c r="D144" i="1" a="1"/>
  <c r="D144" i="1"/>
  <c r="D13" i="1" a="1"/>
  <c r="D13" i="1"/>
  <c r="D60" i="1" a="1"/>
  <c r="D60" i="1"/>
  <c r="D14" i="1" a="1"/>
  <c r="D14" i="1"/>
  <c r="D76" i="1" a="1"/>
  <c r="D76" i="1"/>
  <c r="D112" i="1" a="1"/>
  <c r="D112" i="1"/>
  <c r="D53" i="1" a="1"/>
  <c r="D53" i="1"/>
  <c r="D23" i="1" a="1"/>
  <c r="D23" i="1"/>
  <c r="D5" i="1" a="1"/>
  <c r="D5" i="1"/>
  <c r="D121" i="1" a="1"/>
  <c r="D121" i="1"/>
  <c r="D11" i="1" a="1"/>
  <c r="D11" i="1"/>
  <c r="D44" i="1" a="1"/>
  <c r="D44" i="1"/>
  <c r="D124" i="1" a="1"/>
  <c r="D124" i="1"/>
  <c r="D43" i="1" a="1"/>
  <c r="D43" i="1"/>
  <c r="D104" i="1" a="1"/>
  <c r="D104" i="1"/>
  <c r="D120" i="1" a="1"/>
  <c r="D120" i="1"/>
  <c r="D31" i="1" a="1"/>
  <c r="D31" i="1"/>
  <c r="D127" i="1" a="1"/>
  <c r="D127" i="1"/>
  <c r="D95" i="1" a="1"/>
  <c r="D95" i="1"/>
  <c r="D28" i="1" a="1"/>
  <c r="D28" i="1"/>
  <c r="D10" i="1" a="1"/>
  <c r="D10" i="1"/>
  <c r="D93" i="1" a="1"/>
  <c r="D93" i="1"/>
  <c r="D9" i="1" a="1"/>
  <c r="D9" i="1"/>
  <c r="D47" i="1" a="1"/>
  <c r="D47" i="1"/>
  <c r="D77" i="1" a="1"/>
  <c r="D77" i="1"/>
  <c r="D75" i="1" a="1"/>
  <c r="D75" i="1"/>
  <c r="D7" i="1" a="1"/>
  <c r="D7" i="1"/>
  <c r="D74" i="1" a="1"/>
  <c r="D74" i="1"/>
  <c r="D91" i="1" a="1"/>
  <c r="D91" i="1"/>
  <c r="D122" i="1" a="1"/>
  <c r="D122" i="1"/>
  <c r="D78" i="1" a="1"/>
  <c r="D78" i="1"/>
  <c r="D94" i="1" a="1"/>
  <c r="D94" i="1"/>
  <c r="D136" i="1" a="1"/>
  <c r="D136" i="1"/>
  <c r="D139" i="1" a="1"/>
  <c r="D139" i="1"/>
  <c r="D69" i="1" a="1"/>
  <c r="D69" i="1"/>
  <c r="D85" i="1" a="1"/>
  <c r="D85" i="1"/>
  <c r="D103" i="1" a="1"/>
  <c r="D103" i="1"/>
  <c r="D21" i="1" a="1"/>
  <c r="D21" i="1"/>
  <c r="D6" i="1" a="1"/>
  <c r="D6" i="1"/>
  <c r="D117" i="1" a="1"/>
  <c r="D117" i="1"/>
  <c r="D39" i="1" a="1"/>
  <c r="D39" i="1"/>
  <c r="D38" i="1" a="1"/>
  <c r="D38" i="1"/>
  <c r="D54" i="1" a="1"/>
  <c r="D54" i="1"/>
  <c r="D24" i="1" a="1"/>
  <c r="D24" i="1"/>
  <c r="D134" i="1" a="1"/>
  <c r="D134" i="1"/>
  <c r="D101" i="1" a="1"/>
  <c r="D101" i="1"/>
  <c r="D118" i="1" a="1"/>
  <c r="D118" i="1"/>
  <c r="D37" i="1" a="1"/>
  <c r="D37" i="1"/>
  <c r="D70" i="1" a="1"/>
  <c r="D70" i="1"/>
  <c r="D40" i="1" a="1"/>
  <c r="D40" i="1"/>
  <c r="D102" i="1" a="1"/>
  <c r="D102" i="1"/>
  <c r="D22" i="1" a="1"/>
  <c r="D22" i="1"/>
  <c r="D135" i="1" a="1"/>
  <c r="D135" i="1"/>
  <c r="D79" i="1" a="1"/>
  <c r="D79" i="1"/>
  <c r="D108" i="1" a="1"/>
  <c r="D108" i="1"/>
  <c r="D63" i="1" a="1"/>
  <c r="D63" i="1"/>
  <c r="D42" i="1" a="1"/>
  <c r="D42" i="1"/>
  <c r="D25" i="1" a="1"/>
  <c r="D25" i="1"/>
  <c r="D123" i="1" a="1"/>
  <c r="D123" i="1"/>
  <c r="D125" i="1" a="1"/>
  <c r="D125" i="1"/>
  <c r="D20" i="1" a="1"/>
  <c r="D20" i="1"/>
  <c r="D61" i="1" a="1"/>
  <c r="D61" i="1"/>
  <c r="D36" i="1" a="1"/>
  <c r="D36" i="1"/>
  <c r="D46" i="1" a="1"/>
  <c r="D46" i="1"/>
  <c r="D27" i="1" a="1"/>
  <c r="D27" i="1"/>
  <c r="D90" i="1" a="1"/>
  <c r="D90" i="1"/>
  <c r="D100" i="1" a="1"/>
  <c r="D100" i="1"/>
  <c r="D68" i="1" a="1"/>
  <c r="D68" i="1"/>
  <c r="D116" i="1" a="1"/>
  <c r="D116" i="1"/>
  <c r="D142" i="1" a="1"/>
  <c r="D142" i="1"/>
  <c r="D92" i="1" a="1"/>
  <c r="D92" i="1"/>
  <c r="D29" i="1" a="1"/>
  <c r="D29" i="1"/>
  <c r="D72" i="1" a="1"/>
  <c r="D72" i="1"/>
  <c r="D133" i="1" a="1"/>
  <c r="D133" i="1"/>
  <c r="D140" i="1" a="1"/>
  <c r="D140" i="1"/>
  <c r="D138" i="1" a="1"/>
  <c r="D138" i="1"/>
  <c r="D119" i="1" a="1"/>
  <c r="D119" i="1"/>
  <c r="D99" i="1" a="1"/>
  <c r="D99" i="1"/>
  <c r="D52" i="1" a="1"/>
  <c r="D52" i="1"/>
  <c r="D3" i="1" a="1"/>
  <c r="D3" i="1"/>
  <c r="D106" i="1" a="1"/>
  <c r="D106" i="1"/>
  <c r="D57" i="1" a="1"/>
  <c r="D57" i="1"/>
  <c r="D115" i="1" a="1"/>
  <c r="D115" i="1"/>
  <c r="D71" i="1" a="1"/>
  <c r="D71" i="1"/>
  <c r="D56" i="1" a="1"/>
  <c r="D56" i="1"/>
  <c r="D35" i="1" a="1"/>
  <c r="D35" i="1"/>
  <c r="D84" i="1" a="1"/>
  <c r="D84" i="1"/>
  <c r="D19" i="1" a="1"/>
  <c r="D19" i="1"/>
  <c r="D105" i="1" a="1"/>
  <c r="D105" i="1"/>
  <c r="D107" i="1" a="1"/>
  <c r="D107" i="1"/>
  <c r="D8" i="1" a="1"/>
  <c r="D8" i="1"/>
  <c r="D51" i="1" a="1"/>
  <c r="D51" i="1"/>
  <c r="D59" i="1" a="1"/>
  <c r="D59" i="1"/>
  <c r="D131" i="1" a="1"/>
  <c r="D131" i="1"/>
  <c r="D83" i="1" a="1"/>
  <c r="D83" i="1"/>
  <c r="D58" i="1" a="1"/>
  <c r="D58" i="1"/>
  <c r="D73" i="1" a="1"/>
  <c r="D73" i="1"/>
  <c r="D55" i="1" a="1"/>
  <c r="D55" i="1"/>
  <c r="D67" i="1" a="1"/>
  <c r="D67" i="1"/>
  <c r="D137" i="1" a="1"/>
  <c r="D137" i="1"/>
  <c r="D132" i="1" a="1"/>
  <c r="D132" i="1"/>
  <c r="D2" i="1" a="1"/>
  <c r="D2" i="1" l="1"/>
  <c r="B50" i="1" a="1"/>
  <c r="B50" i="1"/>
  <c r="G50" i="1" a="1"/>
  <c r="E50" i="1" a="1"/>
  <c r="F50" i="1" a="1"/>
  <c r="B66" i="1" a="1"/>
  <c r="G50" i="1" l="1"/>
  <c r="F50" i="1"/>
  <c r="E50" i="1"/>
  <c r="B66" i="1"/>
  <c r="G66" i="1" a="1"/>
  <c r="H50" i="1" a="1"/>
  <c r="I50" i="1" a="1"/>
  <c r="E66" i="1" a="1"/>
  <c r="F66" i="1" a="1"/>
  <c r="B79" i="1" a="1"/>
  <c r="G66" i="1" l="1"/>
  <c r="I50" i="1"/>
  <c r="H50" i="1"/>
  <c r="F66" i="1"/>
  <c r="E66" i="1"/>
  <c r="B79" i="1"/>
  <c r="G79" i="1" a="1"/>
  <c r="H66" i="1" a="1"/>
  <c r="I66" i="1" a="1"/>
  <c r="E79" i="1" a="1"/>
  <c r="F79" i="1" a="1"/>
  <c r="B98" i="1" a="1"/>
  <c r="G79" i="1" l="1"/>
  <c r="I66" i="1"/>
  <c r="H66" i="1"/>
  <c r="F79" i="1"/>
  <c r="E79" i="1"/>
  <c r="B98" i="1"/>
  <c r="G98" i="1" a="1"/>
  <c r="H79" i="1" a="1"/>
  <c r="I79" i="1" a="1"/>
  <c r="E98" i="1" a="1"/>
  <c r="F98" i="1" a="1"/>
  <c r="B130" i="1" a="1"/>
  <c r="G98" i="1" l="1"/>
  <c r="I79" i="1"/>
  <c r="H79" i="1"/>
  <c r="F98" i="1"/>
  <c r="E98" i="1"/>
  <c r="B130" i="1"/>
  <c r="G130" i="1" a="1"/>
  <c r="E130" i="1" a="1"/>
  <c r="F130" i="1" a="1"/>
  <c r="B112" i="1" a="1"/>
  <c r="G130" i="1" l="1"/>
  <c r="H98" i="1" a="1"/>
  <c r="H98" i="1" s="1"/>
  <c r="I98" i="1" a="1"/>
  <c r="I98" i="1" s="1"/>
  <c r="F130" i="1"/>
  <c r="E130" i="1"/>
  <c r="B112" i="1"/>
  <c r="G112" i="1" a="1"/>
  <c r="E112" i="1" a="1"/>
  <c r="F112" i="1" a="1"/>
  <c r="B125" i="1" a="1"/>
  <c r="G112" i="1" l="1"/>
  <c r="H130" i="1" a="1"/>
  <c r="H130" i="1" s="1"/>
  <c r="I130" i="1" a="1"/>
  <c r="I130" i="1" s="1"/>
  <c r="F112" i="1"/>
  <c r="E112" i="1"/>
  <c r="B125" i="1"/>
  <c r="G125" i="1" a="1"/>
  <c r="H112" i="1" a="1"/>
  <c r="I112" i="1" a="1"/>
  <c r="E125" i="1" a="1"/>
  <c r="F125" i="1" a="1"/>
  <c r="B18" i="1" a="1"/>
  <c r="G125" i="1" l="1"/>
  <c r="I112" i="1"/>
  <c r="H112" i="1"/>
  <c r="F125" i="1"/>
  <c r="E125" i="1"/>
  <c r="B18" i="1"/>
  <c r="G18" i="1" a="1"/>
  <c r="H125" i="1" a="1"/>
  <c r="I125" i="1" a="1"/>
  <c r="E18" i="1" a="1"/>
  <c r="F18" i="1" a="1"/>
  <c r="B111" i="1" a="1"/>
  <c r="G18" i="1" l="1"/>
  <c r="I125" i="1"/>
  <c r="H125" i="1"/>
  <c r="F18" i="1"/>
  <c r="E18" i="1"/>
  <c r="B111" i="1"/>
  <c r="G111" i="1" a="1"/>
  <c r="E111" i="1" a="1"/>
  <c r="F111" i="1" a="1"/>
  <c r="B17" i="1" a="1"/>
  <c r="G111" i="1" l="1"/>
  <c r="I18" i="1" a="1"/>
  <c r="I18" i="1" s="1"/>
  <c r="H18" i="1" a="1"/>
  <c r="H18" i="1" s="1"/>
  <c r="F111" i="1"/>
  <c r="E111" i="1"/>
  <c r="B17" i="1"/>
  <c r="G17" i="1" a="1"/>
  <c r="H111" i="1" a="1"/>
  <c r="I111" i="1" a="1"/>
  <c r="E17" i="1" a="1"/>
  <c r="F17" i="1" a="1"/>
  <c r="B82" i="1" a="1"/>
  <c r="G17" i="1" l="1"/>
  <c r="I111" i="1"/>
  <c r="H111" i="1"/>
  <c r="F17" i="1"/>
  <c r="E17" i="1"/>
  <c r="B82" i="1"/>
  <c r="G82" i="1" a="1"/>
  <c r="E82" i="1" a="1"/>
  <c r="F82" i="1" a="1"/>
  <c r="B114" i="1" a="1"/>
  <c r="G82" i="1" l="1"/>
  <c r="H17" i="1" a="1"/>
  <c r="H17" i="1" s="1"/>
  <c r="I17" i="1" a="1"/>
  <c r="I17" i="1" s="1"/>
  <c r="F82" i="1"/>
  <c r="E82" i="1"/>
  <c r="B114" i="1"/>
  <c r="G114" i="1" a="1"/>
  <c r="E114" i="1" a="1"/>
  <c r="F114" i="1" a="1"/>
  <c r="B34" i="1" a="1"/>
  <c r="G114" i="1" l="1"/>
  <c r="H82" i="1" a="1"/>
  <c r="H82" i="1" s="1"/>
  <c r="I82" i="1" a="1"/>
  <c r="I82" i="1" s="1"/>
  <c r="F114" i="1"/>
  <c r="E114" i="1"/>
  <c r="B34" i="1"/>
  <c r="G34" i="1" a="1"/>
  <c r="E34" i="1" a="1"/>
  <c r="F34" i="1" a="1"/>
  <c r="B122" i="1" a="1"/>
  <c r="G34" i="1" l="1"/>
  <c r="I114" i="1" a="1"/>
  <c r="I114" i="1" s="1"/>
  <c r="H114" i="1" a="1"/>
  <c r="H114" i="1" s="1"/>
  <c r="F34" i="1"/>
  <c r="E34" i="1"/>
  <c r="B122" i="1"/>
  <c r="G122" i="1" a="1"/>
  <c r="E122" i="1" a="1"/>
  <c r="F122" i="1" a="1"/>
  <c r="B81" i="1" a="1"/>
  <c r="G122" i="1" l="1"/>
  <c r="I34" i="1" a="1"/>
  <c r="I34" i="1" s="1"/>
  <c r="H34" i="1" a="1"/>
  <c r="H34" i="1" s="1"/>
  <c r="F122" i="1"/>
  <c r="E122" i="1"/>
  <c r="B81" i="1"/>
  <c r="G81" i="1" a="1"/>
  <c r="E81" i="1" a="1"/>
  <c r="F81" i="1" a="1"/>
  <c r="B41" i="1" a="1"/>
  <c r="G81" i="1" l="1"/>
  <c r="I122" i="1" a="1"/>
  <c r="I122" i="1" s="1"/>
  <c r="H122" i="1" a="1"/>
  <c r="H122" i="1" s="1"/>
  <c r="F81" i="1"/>
  <c r="E81" i="1"/>
  <c r="B41" i="1"/>
  <c r="G41" i="1" a="1"/>
  <c r="E41" i="1" a="1"/>
  <c r="F41" i="1" a="1"/>
  <c r="B49" i="1" a="1"/>
  <c r="G41" i="1" l="1"/>
  <c r="H81" i="1" a="1"/>
  <c r="H81" i="1" s="1"/>
  <c r="I81" i="1" a="1"/>
  <c r="I81" i="1" s="1"/>
  <c r="F41" i="1"/>
  <c r="E41" i="1"/>
  <c r="B49" i="1"/>
  <c r="G49" i="1" a="1"/>
  <c r="H41" i="1" a="1"/>
  <c r="I41" i="1" a="1"/>
  <c r="E49" i="1" a="1"/>
  <c r="F49" i="1" a="1"/>
  <c r="B32" i="1" a="1"/>
  <c r="G49" i="1" l="1"/>
  <c r="I41" i="1"/>
  <c r="H41" i="1"/>
  <c r="F49" i="1"/>
  <c r="E49" i="1"/>
  <c r="B32" i="1"/>
  <c r="G32" i="1" a="1"/>
  <c r="H49" i="1" a="1"/>
  <c r="I49" i="1" a="1"/>
  <c r="E32" i="1" a="1"/>
  <c r="F32" i="1" a="1"/>
  <c r="B138" i="1" a="1"/>
  <c r="G32" i="1" l="1"/>
  <c r="I49" i="1"/>
  <c r="H49" i="1"/>
  <c r="F32" i="1"/>
  <c r="E32" i="1"/>
  <c r="B138" i="1"/>
  <c r="G138" i="1" a="1"/>
  <c r="H32" i="1" a="1"/>
  <c r="I32" i="1" a="1"/>
  <c r="E138" i="1" a="1"/>
  <c r="F138" i="1" a="1"/>
  <c r="B72" i="1" a="1"/>
  <c r="G138" i="1" l="1"/>
  <c r="I32" i="1"/>
  <c r="H32" i="1"/>
  <c r="F138" i="1"/>
  <c r="E138" i="1"/>
  <c r="B72" i="1"/>
  <c r="G72" i="1" a="1"/>
  <c r="E72" i="1" a="1"/>
  <c r="F72" i="1" a="1"/>
  <c r="B46" i="1" a="1"/>
  <c r="G72" i="1" l="1"/>
  <c r="H138" i="1" a="1"/>
  <c r="H138" i="1" s="1"/>
  <c r="I138" i="1" a="1"/>
  <c r="I138" i="1" s="1"/>
  <c r="F72" i="1"/>
  <c r="E72" i="1"/>
  <c r="B46" i="1"/>
  <c r="G46" i="1" a="1"/>
  <c r="H72" i="1" a="1"/>
  <c r="I72" i="1" a="1"/>
  <c r="E46" i="1" a="1"/>
  <c r="F46" i="1" a="1"/>
  <c r="B29" i="1" a="1"/>
  <c r="G46" i="1" l="1"/>
  <c r="I72" i="1"/>
  <c r="H72" i="1"/>
  <c r="F46" i="1"/>
  <c r="E46" i="1"/>
  <c r="B29" i="1"/>
  <c r="G29" i="1" a="1"/>
  <c r="H46" i="1" a="1"/>
  <c r="I46" i="1" a="1"/>
  <c r="E29" i="1" a="1"/>
  <c r="F29" i="1" a="1"/>
  <c r="B113" i="1" a="1"/>
  <c r="G29" i="1" l="1"/>
  <c r="I46" i="1"/>
  <c r="H46" i="1"/>
  <c r="F29" i="1"/>
  <c r="E29" i="1"/>
  <c r="B113" i="1"/>
  <c r="G113" i="1" a="1"/>
  <c r="E113" i="1" a="1"/>
  <c r="F113" i="1" a="1"/>
  <c r="B44" i="1" a="1"/>
  <c r="G113" i="1" l="1"/>
  <c r="I29" i="1" a="1"/>
  <c r="I29" i="1" s="1"/>
  <c r="H29" i="1" a="1"/>
  <c r="H29" i="1" s="1"/>
  <c r="F113" i="1"/>
  <c r="E113" i="1"/>
  <c r="B44" i="1"/>
  <c r="G44" i="1" a="1"/>
  <c r="E44" i="1" a="1"/>
  <c r="F44" i="1" a="1"/>
  <c r="B64" i="1" a="1"/>
  <c r="G44" i="1" l="1"/>
  <c r="H113" i="1" a="1"/>
  <c r="H113" i="1" s="1"/>
  <c r="I113" i="1" a="1"/>
  <c r="I113" i="1" s="1"/>
  <c r="F44" i="1"/>
  <c r="E44" i="1"/>
  <c r="B64" i="1"/>
  <c r="G64" i="1" a="1"/>
  <c r="H44" i="1" a="1"/>
  <c r="I44" i="1" a="1"/>
  <c r="E64" i="1" a="1"/>
  <c r="F64" i="1" a="1"/>
  <c r="B141" i="1" a="1"/>
  <c r="G64" i="1" l="1"/>
  <c r="I44" i="1"/>
  <c r="H44" i="1"/>
  <c r="F64" i="1"/>
  <c r="E64" i="1"/>
  <c r="B141" i="1"/>
  <c r="G141" i="1" a="1"/>
  <c r="H64" i="1" a="1"/>
  <c r="I64" i="1" a="1"/>
  <c r="E141" i="1" a="1"/>
  <c r="F141" i="1" a="1"/>
  <c r="B14" i="1" a="1"/>
  <c r="G141" i="1" l="1"/>
  <c r="I64" i="1"/>
  <c r="H64" i="1"/>
  <c r="F141" i="1"/>
  <c r="E141" i="1"/>
  <c r="B14" i="1"/>
  <c r="G14" i="1" a="1"/>
  <c r="E14" i="1" a="1"/>
  <c r="F14" i="1" a="1"/>
  <c r="B65" i="1" a="1"/>
  <c r="G14" i="1" l="1"/>
  <c r="H141" i="1" a="1"/>
  <c r="H141" i="1" s="1"/>
  <c r="I141" i="1" a="1"/>
  <c r="I141" i="1" s="1"/>
  <c r="F14" i="1"/>
  <c r="E14" i="1"/>
  <c r="B65" i="1"/>
  <c r="G65" i="1" a="1"/>
  <c r="E65" i="1" a="1"/>
  <c r="F65" i="1" a="1"/>
  <c r="B63" i="1" a="1"/>
  <c r="G65" i="1" l="1"/>
  <c r="H14" i="1" a="1"/>
  <c r="H14" i="1" s="1"/>
  <c r="I14" i="1" a="1"/>
  <c r="I14" i="1" s="1"/>
  <c r="F65" i="1"/>
  <c r="E65" i="1"/>
  <c r="B63" i="1"/>
  <c r="G63" i="1" a="1"/>
  <c r="H65" i="1" a="1"/>
  <c r="I65" i="1" a="1"/>
  <c r="E63" i="1" a="1"/>
  <c r="F63" i="1" a="1"/>
  <c r="B45" i="1" a="1"/>
  <c r="G63" i="1" l="1"/>
  <c r="I65" i="1"/>
  <c r="H65" i="1"/>
  <c r="F63" i="1"/>
  <c r="E63" i="1"/>
  <c r="B45" i="1"/>
  <c r="G45" i="1" a="1"/>
  <c r="H63" i="1" a="1"/>
  <c r="I63" i="1" a="1"/>
  <c r="E45" i="1" a="1"/>
  <c r="F45" i="1" a="1"/>
  <c r="B140" i="1" a="1"/>
  <c r="G45" i="1" l="1"/>
  <c r="I63" i="1"/>
  <c r="H63" i="1"/>
  <c r="F45" i="1"/>
  <c r="E45" i="1"/>
  <c r="B140" i="1"/>
  <c r="G140" i="1" a="1"/>
  <c r="H45" i="1" a="1"/>
  <c r="I45" i="1" a="1"/>
  <c r="E140" i="1" a="1"/>
  <c r="F140" i="1" a="1"/>
  <c r="B16" i="1" a="1"/>
  <c r="G140" i="1" l="1"/>
  <c r="I45" i="1"/>
  <c r="H45" i="1"/>
  <c r="F140" i="1"/>
  <c r="E140" i="1"/>
  <c r="B16" i="1"/>
  <c r="G16" i="1" a="1"/>
  <c r="E16" i="1" a="1"/>
  <c r="F16" i="1" a="1"/>
  <c r="B126" i="1" a="1"/>
  <c r="G16" i="1" l="1"/>
  <c r="H140" i="1" a="1"/>
  <c r="H140" i="1" s="1"/>
  <c r="I140" i="1" a="1"/>
  <c r="I140" i="1" s="1"/>
  <c r="F16" i="1"/>
  <c r="E16" i="1"/>
  <c r="B126" i="1"/>
  <c r="G126" i="1" a="1"/>
  <c r="E126" i="1" a="1"/>
  <c r="F126" i="1" a="1"/>
  <c r="B110" i="1" a="1"/>
  <c r="G126" i="1" l="1"/>
  <c r="H16" i="1" a="1"/>
  <c r="H16" i="1" s="1"/>
  <c r="I16" i="1" a="1"/>
  <c r="I16" i="1" s="1"/>
  <c r="F126" i="1"/>
  <c r="E126" i="1"/>
  <c r="B110" i="1"/>
  <c r="G110" i="1" a="1"/>
  <c r="E110" i="1" a="1"/>
  <c r="F110" i="1" a="1"/>
  <c r="B30" i="1" a="1"/>
  <c r="G110" i="1" l="1"/>
  <c r="I126" i="1" a="1"/>
  <c r="I126" i="1" s="1"/>
  <c r="H126" i="1" a="1"/>
  <c r="H126" i="1" s="1"/>
  <c r="F110" i="1"/>
  <c r="E110" i="1"/>
  <c r="B30" i="1"/>
  <c r="G30" i="1" a="1"/>
  <c r="H110" i="1" a="1"/>
  <c r="I110" i="1" a="1"/>
  <c r="E30" i="1" a="1"/>
  <c r="F30" i="1" a="1"/>
  <c r="B27" i="1" a="1"/>
  <c r="G30" i="1" l="1"/>
  <c r="I110" i="1"/>
  <c r="H110" i="1"/>
  <c r="F30" i="1"/>
  <c r="E30" i="1"/>
  <c r="B27" i="1"/>
  <c r="G27" i="1" a="1"/>
  <c r="E27" i="1" a="1"/>
  <c r="F27" i="1" a="1"/>
  <c r="B96" i="1" a="1"/>
  <c r="G27" i="1" l="1"/>
  <c r="H30" i="1" a="1"/>
  <c r="H30" i="1" s="1"/>
  <c r="I30" i="1" a="1"/>
  <c r="I30" i="1" s="1"/>
  <c r="F27" i="1"/>
  <c r="E27" i="1"/>
  <c r="B96" i="1"/>
  <c r="G96" i="1" a="1"/>
  <c r="E96" i="1" a="1"/>
  <c r="F96" i="1" a="1"/>
  <c r="B10" i="1" a="1"/>
  <c r="G96" i="1" l="1"/>
  <c r="I27" i="1" a="1"/>
  <c r="I27" i="1" s="1"/>
  <c r="H27" i="1" a="1"/>
  <c r="H27" i="1" s="1"/>
  <c r="F96" i="1"/>
  <c r="E96" i="1"/>
  <c r="B10" i="1"/>
  <c r="G10" i="1" a="1"/>
  <c r="E10" i="1" a="1"/>
  <c r="F10" i="1" a="1"/>
  <c r="B15" i="1" a="1"/>
  <c r="G10" i="1" l="1"/>
  <c r="H96" i="1" a="1"/>
  <c r="H96" i="1" s="1"/>
  <c r="I96" i="1" a="1"/>
  <c r="I96" i="1" s="1"/>
  <c r="F10" i="1"/>
  <c r="E10" i="1"/>
  <c r="B15" i="1"/>
  <c r="G15" i="1" a="1"/>
  <c r="E15" i="1" a="1"/>
  <c r="F15" i="1" a="1"/>
  <c r="B33" i="1" a="1"/>
  <c r="G15" i="1" l="1"/>
  <c r="I10" i="1" a="1"/>
  <c r="I10" i="1" s="1"/>
  <c r="H10" i="1" a="1"/>
  <c r="H10" i="1" s="1"/>
  <c r="F15" i="1"/>
  <c r="E15" i="1"/>
  <c r="B33" i="1"/>
  <c r="G33" i="1" a="1"/>
  <c r="E33" i="1" a="1"/>
  <c r="F33" i="1" a="1"/>
  <c r="B47" i="1" a="1"/>
  <c r="G33" i="1" l="1"/>
  <c r="H15" i="1" a="1"/>
  <c r="H15" i="1" s="1"/>
  <c r="I15" i="1" a="1"/>
  <c r="I15" i="1" s="1"/>
  <c r="F33" i="1"/>
  <c r="E33" i="1"/>
  <c r="B47" i="1"/>
  <c r="G47" i="1" a="1"/>
  <c r="H33" i="1" a="1"/>
  <c r="I33" i="1" a="1"/>
  <c r="E47" i="1" a="1"/>
  <c r="F47" i="1" a="1"/>
  <c r="B55" i="1" a="1"/>
  <c r="G47" i="1" l="1"/>
  <c r="I33" i="1"/>
  <c r="H33" i="1"/>
  <c r="F47" i="1"/>
  <c r="E47" i="1"/>
  <c r="B55" i="1"/>
  <c r="G55" i="1" a="1"/>
  <c r="H47" i="1" a="1"/>
  <c r="I47" i="1" a="1"/>
  <c r="E55" i="1" a="1"/>
  <c r="F55" i="1" a="1"/>
  <c r="B36" i="1" a="1"/>
  <c r="G55" i="1" l="1"/>
  <c r="I47" i="1"/>
  <c r="H47" i="1"/>
  <c r="F55" i="1"/>
  <c r="E55" i="1"/>
  <c r="B36" i="1"/>
  <c r="G36" i="1" a="1"/>
  <c r="H55" i="1" a="1"/>
  <c r="I55" i="1" a="1"/>
  <c r="E36" i="1" a="1"/>
  <c r="F36" i="1" a="1"/>
  <c r="B133" i="1" a="1"/>
  <c r="G36" i="1" l="1"/>
  <c r="I55" i="1"/>
  <c r="H55" i="1"/>
  <c r="F36" i="1"/>
  <c r="E36" i="1"/>
  <c r="B133" i="1"/>
  <c r="G133" i="1" a="1"/>
  <c r="H36" i="1" a="1"/>
  <c r="I36" i="1" a="1"/>
  <c r="F133" i="1" a="1"/>
  <c r="B13" i="1" a="1"/>
  <c r="G133" i="1" l="1"/>
  <c r="I36" i="1"/>
  <c r="H36" i="1"/>
  <c r="F133" i="1"/>
  <c r="B13" i="1"/>
  <c r="G13" i="1" a="1"/>
  <c r="E13" i="1" a="1"/>
  <c r="F13" i="1" a="1"/>
  <c r="B37" i="1" a="1"/>
  <c r="G13" i="1" l="1"/>
  <c r="H133" i="1" a="1"/>
  <c r="H133" i="1" s="1"/>
  <c r="I133" i="1" a="1"/>
  <c r="I133" i="1" s="1"/>
  <c r="F13" i="1"/>
  <c r="E13" i="1"/>
  <c r="B37" i="1"/>
  <c r="G37" i="1" a="1"/>
  <c r="E37" i="1" a="1"/>
  <c r="F37" i="1" a="1"/>
  <c r="B68" i="1" a="1"/>
  <c r="G37" i="1" l="1"/>
  <c r="I13" i="1" a="1"/>
  <c r="I13" i="1" s="1"/>
  <c r="H13" i="1" a="1"/>
  <c r="H13" i="1" s="1"/>
  <c r="F37" i="1"/>
  <c r="E37" i="1"/>
  <c r="B68" i="1"/>
  <c r="G68" i="1" a="1"/>
  <c r="H37" i="1" a="1"/>
  <c r="I37" i="1" a="1"/>
  <c r="E68" i="1" a="1"/>
  <c r="F68" i="1" a="1"/>
  <c r="B71" i="1" a="1"/>
  <c r="G68" i="1" l="1"/>
  <c r="I37" i="1"/>
  <c r="H37" i="1"/>
  <c r="F68" i="1"/>
  <c r="E68" i="1"/>
  <c r="B71" i="1"/>
  <c r="G71" i="1" a="1"/>
  <c r="H68" i="1" a="1"/>
  <c r="I68" i="1" a="1"/>
  <c r="E71" i="1" a="1"/>
  <c r="F71" i="1" a="1"/>
  <c r="B59" i="1" a="1"/>
  <c r="G71" i="1" l="1"/>
  <c r="I68" i="1"/>
  <c r="H68" i="1"/>
  <c r="F71" i="1"/>
  <c r="E71" i="1"/>
  <c r="B59" i="1"/>
  <c r="G59" i="1" a="1"/>
  <c r="H71" i="1" a="1"/>
  <c r="I71" i="1" a="1"/>
  <c r="E59" i="1" a="1"/>
  <c r="F59" i="1" a="1"/>
  <c r="B106" i="1" a="1"/>
  <c r="G59" i="1" l="1"/>
  <c r="I71" i="1"/>
  <c r="H71" i="1"/>
  <c r="F59" i="1"/>
  <c r="E59" i="1"/>
  <c r="B106" i="1"/>
  <c r="G106" i="1" a="1"/>
  <c r="H59" i="1" a="1"/>
  <c r="I59" i="1" a="1"/>
  <c r="E106" i="1" a="1"/>
  <c r="F106" i="1" a="1"/>
  <c r="B23" i="1" a="1"/>
  <c r="G106" i="1" l="1"/>
  <c r="I59" i="1"/>
  <c r="H59" i="1"/>
  <c r="F106" i="1"/>
  <c r="E106" i="1"/>
  <c r="B23" i="1"/>
  <c r="G23" i="1" a="1"/>
  <c r="E23" i="1" a="1"/>
  <c r="F23" i="1" a="1"/>
  <c r="B48" i="1" a="1"/>
  <c r="G23" i="1" l="1"/>
  <c r="I106" i="1" a="1"/>
  <c r="I106" i="1" s="1"/>
  <c r="H106" i="1" a="1"/>
  <c r="H106" i="1" s="1"/>
  <c r="F23" i="1"/>
  <c r="E23" i="1"/>
  <c r="B48" i="1"/>
  <c r="G48" i="1" a="1"/>
  <c r="E48" i="1" a="1"/>
  <c r="F48" i="1" a="1"/>
  <c r="B53" i="1" a="1"/>
  <c r="G48" i="1" l="1"/>
  <c r="H23" i="1" a="1"/>
  <c r="H23" i="1" s="1"/>
  <c r="I23" i="1" a="1"/>
  <c r="I23" i="1" s="1"/>
  <c r="F48" i="1"/>
  <c r="E48" i="1"/>
  <c r="B53" i="1"/>
  <c r="G53" i="1" a="1"/>
  <c r="H48" i="1" a="1"/>
  <c r="I48" i="1" a="1"/>
  <c r="E53" i="1" a="1"/>
  <c r="F53" i="1" a="1"/>
  <c r="B137" i="1" a="1"/>
  <c r="G53" i="1" l="1"/>
  <c r="I48" i="1"/>
  <c r="H48" i="1"/>
  <c r="F53" i="1"/>
  <c r="E53" i="1"/>
  <c r="B137" i="1"/>
  <c r="G137" i="1" a="1"/>
  <c r="H53" i="1" a="1"/>
  <c r="I53" i="1" a="1"/>
  <c r="E137" i="1" a="1"/>
  <c r="F137" i="1" a="1"/>
  <c r="B101" i="1" a="1"/>
  <c r="G137" i="1" l="1"/>
  <c r="I53" i="1"/>
  <c r="H53" i="1"/>
  <c r="F137" i="1"/>
  <c r="E137" i="1"/>
  <c r="B101" i="1"/>
  <c r="G101" i="1" a="1"/>
  <c r="E101" i="1" a="1"/>
  <c r="F101" i="1" a="1"/>
  <c r="B9" i="1" a="1"/>
  <c r="G101" i="1" l="1"/>
  <c r="I137" i="1" a="1"/>
  <c r="I137" i="1" s="1"/>
  <c r="H137" i="1" a="1"/>
  <c r="H137" i="1" s="1"/>
  <c r="F101" i="1"/>
  <c r="E101" i="1"/>
  <c r="B9" i="1"/>
  <c r="G9" i="1" a="1"/>
  <c r="E9" i="1" a="1"/>
  <c r="F9" i="1" a="1"/>
  <c r="B5" i="1" a="1"/>
  <c r="G9" i="1" l="1"/>
  <c r="H101" i="1" a="1"/>
  <c r="H101" i="1" s="1"/>
  <c r="I101" i="1" a="1"/>
  <c r="I101" i="1" s="1"/>
  <c r="F9" i="1"/>
  <c r="E9" i="1"/>
  <c r="B5" i="1"/>
  <c r="G5" i="1" a="1"/>
  <c r="E5" i="1" a="1"/>
  <c r="F5" i="1" a="1"/>
  <c r="B42" i="1" a="1"/>
  <c r="G5" i="1" l="1"/>
  <c r="I9" i="1" a="1"/>
  <c r="I9" i="1" s="1"/>
  <c r="H9" i="1" a="1"/>
  <c r="H9" i="1" s="1"/>
  <c r="F5" i="1"/>
  <c r="E5" i="1"/>
  <c r="B42" i="1"/>
  <c r="G42" i="1" a="1"/>
  <c r="E42" i="1" a="1"/>
  <c r="F42" i="1" a="1"/>
  <c r="B100" i="1" a="1"/>
  <c r="G42" i="1" l="1"/>
  <c r="I5" i="1" a="1"/>
  <c r="I5" i="1" s="1"/>
  <c r="H5" i="1" a="1"/>
  <c r="H5" i="1" s="1"/>
  <c r="F42" i="1"/>
  <c r="E42" i="1"/>
  <c r="B100" i="1"/>
  <c r="G100" i="1" a="1"/>
  <c r="H42" i="1" a="1"/>
  <c r="I42" i="1" a="1"/>
  <c r="E100" i="1" a="1"/>
  <c r="F100" i="1" a="1"/>
  <c r="B6" i="1" a="1"/>
  <c r="G100" i="1" l="1"/>
  <c r="I42" i="1"/>
  <c r="H42" i="1"/>
  <c r="F100" i="1"/>
  <c r="E100" i="1"/>
  <c r="B6" i="1"/>
  <c r="G6" i="1" a="1"/>
  <c r="E6" i="1" a="1"/>
  <c r="F6" i="1" a="1"/>
  <c r="B58" i="1" a="1"/>
  <c r="G6" i="1" l="1"/>
  <c r="I100" i="1" a="1"/>
  <c r="I100" i="1" s="1"/>
  <c r="H100" i="1" a="1"/>
  <c r="H100" i="1" s="1"/>
  <c r="F6" i="1"/>
  <c r="E6" i="1"/>
  <c r="B58" i="1"/>
  <c r="G58" i="1" a="1"/>
  <c r="E58" i="1" a="1"/>
  <c r="F58" i="1" a="1"/>
  <c r="B57" i="1" a="1"/>
  <c r="G58" i="1" l="1"/>
  <c r="H6" i="1" a="1"/>
  <c r="H6" i="1" s="1"/>
  <c r="I6" i="1" a="1"/>
  <c r="I6" i="1" s="1"/>
  <c r="F58" i="1"/>
  <c r="E58" i="1"/>
  <c r="B57" i="1"/>
  <c r="G57" i="1" a="1"/>
  <c r="H58" i="1" a="1"/>
  <c r="I58" i="1" a="1"/>
  <c r="E57" i="1" a="1"/>
  <c r="F57" i="1" a="1"/>
  <c r="B61" i="1" a="1"/>
  <c r="G57" i="1" l="1"/>
  <c r="I58" i="1"/>
  <c r="H58" i="1"/>
  <c r="F57" i="1"/>
  <c r="E57" i="1"/>
  <c r="B61" i="1"/>
  <c r="G61" i="1" a="1"/>
  <c r="H57" i="1" a="1"/>
  <c r="I57" i="1" a="1"/>
  <c r="E61" i="1" a="1"/>
  <c r="F61" i="1" a="1"/>
  <c r="B56" i="1" a="1"/>
  <c r="G61" i="1" l="1"/>
  <c r="I57" i="1"/>
  <c r="H57" i="1"/>
  <c r="F61" i="1"/>
  <c r="E61" i="1"/>
  <c r="B56" i="1"/>
  <c r="G56" i="1" a="1"/>
  <c r="H61" i="1" a="1"/>
  <c r="I61" i="1" a="1"/>
  <c r="E56" i="1" a="1"/>
  <c r="F56" i="1" a="1"/>
  <c r="B136" i="1" a="1"/>
  <c r="G56" i="1" l="1"/>
  <c r="I61" i="1"/>
  <c r="H61" i="1"/>
  <c r="F56" i="1"/>
  <c r="E56" i="1"/>
  <c r="B136" i="1"/>
  <c r="G136" i="1" a="1"/>
  <c r="H56" i="1" a="1"/>
  <c r="I56" i="1" a="1"/>
  <c r="E136" i="1" a="1"/>
  <c r="F136" i="1" a="1"/>
  <c r="B123" i="1" a="1"/>
  <c r="G136" i="1" l="1"/>
  <c r="I56" i="1"/>
  <c r="H56" i="1"/>
  <c r="F136" i="1"/>
  <c r="E136" i="1"/>
  <c r="B123" i="1"/>
  <c r="G123" i="1" a="1"/>
  <c r="E123" i="1" a="1"/>
  <c r="F123" i="1" a="1"/>
  <c r="B90" i="1" a="1"/>
  <c r="G123" i="1" l="1"/>
  <c r="I136" i="1" a="1"/>
  <c r="I136" i="1" s="1"/>
  <c r="H136" i="1" a="1"/>
  <c r="H136" i="1" s="1"/>
  <c r="F123" i="1"/>
  <c r="E123" i="1"/>
  <c r="B90" i="1"/>
  <c r="G90" i="1" a="1"/>
  <c r="H123" i="1" a="1"/>
  <c r="I123" i="1" a="1"/>
  <c r="E90" i="1" a="1"/>
  <c r="F90" i="1" a="1"/>
  <c r="B77" i="1" a="1"/>
  <c r="G90" i="1" l="1"/>
  <c r="I123" i="1"/>
  <c r="H123" i="1"/>
  <c r="F90" i="1"/>
  <c r="E90" i="1"/>
  <c r="B77" i="1"/>
  <c r="G77" i="1" a="1"/>
  <c r="E77" i="1" a="1"/>
  <c r="F77" i="1" a="1"/>
  <c r="B11" i="1" a="1"/>
  <c r="G77" i="1" l="1"/>
  <c r="H90" i="1" a="1"/>
  <c r="H90" i="1" s="1"/>
  <c r="I90" i="1" a="1"/>
  <c r="I90" i="1" s="1"/>
  <c r="F77" i="1"/>
  <c r="E77" i="1"/>
  <c r="B11" i="1"/>
  <c r="G11" i="1" a="1"/>
  <c r="H77" i="1" a="1"/>
  <c r="I77" i="1" a="1"/>
  <c r="E11" i="1" a="1"/>
  <c r="F11" i="1" a="1"/>
  <c r="B76" i="1" a="1"/>
  <c r="G11" i="1" l="1"/>
  <c r="I77" i="1"/>
  <c r="H77" i="1"/>
  <c r="F11" i="1"/>
  <c r="E11" i="1"/>
  <c r="B76" i="1"/>
  <c r="G76" i="1" a="1"/>
  <c r="E76" i="1" a="1"/>
  <c r="F76" i="1" a="1"/>
  <c r="B108" i="1" a="1"/>
  <c r="G76" i="1" l="1"/>
  <c r="H11" i="1" a="1"/>
  <c r="H11" i="1" s="1"/>
  <c r="I11" i="1" a="1"/>
  <c r="I11" i="1" s="1"/>
  <c r="F76" i="1"/>
  <c r="E76" i="1"/>
  <c r="B108" i="1"/>
  <c r="G108" i="1" a="1"/>
  <c r="E108" i="1" a="1"/>
  <c r="F108" i="1" a="1"/>
  <c r="B124" i="1" a="1"/>
  <c r="G108" i="1" l="1"/>
  <c r="H76" i="1" a="1"/>
  <c r="H76" i="1" s="1"/>
  <c r="I76" i="1" a="1"/>
  <c r="I76" i="1" s="1"/>
  <c r="F108" i="1"/>
  <c r="E108" i="1"/>
  <c r="B124" i="1"/>
  <c r="G124" i="1" a="1"/>
  <c r="H108" i="1" a="1"/>
  <c r="I108" i="1" a="1"/>
  <c r="E124" i="1" a="1"/>
  <c r="F124" i="1" a="1"/>
  <c r="B28" i="1" a="1"/>
  <c r="G124" i="1" l="1"/>
  <c r="I108" i="1"/>
  <c r="H108" i="1"/>
  <c r="F124" i="1"/>
  <c r="E124" i="1"/>
  <c r="B28" i="1"/>
  <c r="G28" i="1" a="1"/>
  <c r="H124" i="1" a="1"/>
  <c r="I124" i="1" a="1"/>
  <c r="E28" i="1" a="1"/>
  <c r="F28" i="1" a="1"/>
  <c r="B62" i="1" a="1"/>
  <c r="G28" i="1" l="1"/>
  <c r="I124" i="1"/>
  <c r="H124" i="1"/>
  <c r="F28" i="1"/>
  <c r="E28" i="1"/>
  <c r="B62" i="1"/>
  <c r="G62" i="1" a="1"/>
  <c r="E62" i="1" a="1"/>
  <c r="F62" i="1" a="1"/>
  <c r="B109" i="1" a="1"/>
  <c r="G62" i="1" l="1"/>
  <c r="I28" i="1" a="1"/>
  <c r="I28" i="1" s="1"/>
  <c r="H28" i="1" a="1"/>
  <c r="H28" i="1" s="1"/>
  <c r="F62" i="1"/>
  <c r="E62" i="1"/>
  <c r="B109" i="1"/>
  <c r="G109" i="1" a="1"/>
  <c r="E109" i="1" a="1"/>
  <c r="F109" i="1" a="1"/>
  <c r="B127" i="1" a="1"/>
  <c r="G109" i="1" l="1"/>
  <c r="I62" i="1" a="1"/>
  <c r="I62" i="1" s="1"/>
  <c r="H62" i="1" a="1"/>
  <c r="H62" i="1" s="1"/>
  <c r="F109" i="1"/>
  <c r="E109" i="1"/>
  <c r="B127" i="1"/>
  <c r="G127" i="1" a="1"/>
  <c r="H109" i="1" a="1"/>
  <c r="I109" i="1" a="1"/>
  <c r="E127" i="1" a="1"/>
  <c r="F127" i="1" a="1"/>
  <c r="B121" i="1" a="1"/>
  <c r="G127" i="1" l="1"/>
  <c r="I109" i="1"/>
  <c r="H109" i="1"/>
  <c r="F127" i="1"/>
  <c r="E127" i="1"/>
  <c r="B121" i="1"/>
  <c r="G121" i="1" a="1"/>
  <c r="E121" i="1" a="1"/>
  <c r="F121" i="1" a="1"/>
  <c r="B95" i="1" a="1"/>
  <c r="G121" i="1" l="1"/>
  <c r="H127" i="1" a="1"/>
  <c r="H127" i="1" s="1"/>
  <c r="I127" i="1" a="1"/>
  <c r="I127" i="1" s="1"/>
  <c r="F121" i="1"/>
  <c r="E121" i="1"/>
  <c r="B95" i="1"/>
  <c r="G95" i="1" a="1"/>
  <c r="E95" i="1" a="1"/>
  <c r="F95" i="1" a="1"/>
  <c r="B139" i="1" a="1"/>
  <c r="G95" i="1" l="1"/>
  <c r="H121" i="1" a="1"/>
  <c r="H121" i="1" s="1"/>
  <c r="I121" i="1" a="1"/>
  <c r="I121" i="1" s="1"/>
  <c r="F95" i="1"/>
  <c r="E95" i="1"/>
  <c r="B139" i="1"/>
  <c r="G139" i="1" a="1"/>
  <c r="E139" i="1" a="1"/>
  <c r="F139" i="1" a="1"/>
  <c r="B31" i="1" a="1"/>
  <c r="G139" i="1" l="1"/>
  <c r="H95" i="1" a="1"/>
  <c r="H95" i="1" s="1"/>
  <c r="I95" i="1" a="1"/>
  <c r="I95" i="1" s="1"/>
  <c r="F139" i="1"/>
  <c r="E139" i="1"/>
  <c r="B31" i="1"/>
  <c r="G31" i="1" a="1"/>
  <c r="E31" i="1" a="1"/>
  <c r="F31" i="1" a="1"/>
  <c r="B107" i="1" a="1"/>
  <c r="G31" i="1" l="1"/>
  <c r="H139" i="1" a="1"/>
  <c r="H139" i="1" s="1"/>
  <c r="I139" i="1" a="1"/>
  <c r="I139" i="1" s="1"/>
  <c r="F31" i="1"/>
  <c r="E31" i="1"/>
  <c r="B107" i="1"/>
  <c r="G107" i="1" a="1"/>
  <c r="E107" i="1" a="1"/>
  <c r="F107" i="1" a="1"/>
  <c r="B134" i="1" a="1"/>
  <c r="G107" i="1" l="1"/>
  <c r="H31" i="1" a="1"/>
  <c r="H31" i="1" s="1"/>
  <c r="I31" i="1" a="1"/>
  <c r="I31" i="1" s="1"/>
  <c r="F107" i="1"/>
  <c r="E107" i="1"/>
  <c r="B134" i="1"/>
  <c r="G134" i="1" a="1"/>
  <c r="F134" i="1" a="1"/>
  <c r="B20" i="1" a="1"/>
  <c r="G134" i="1" l="1"/>
  <c r="I107" i="1" a="1"/>
  <c r="I107" i="1" s="1"/>
  <c r="H107" i="1" a="1"/>
  <c r="H107" i="1" s="1"/>
  <c r="F134" i="1"/>
  <c r="B20" i="1"/>
  <c r="G20" i="1" a="1"/>
  <c r="E20" i="1" a="1"/>
  <c r="F20" i="1" a="1"/>
  <c r="B78" i="1" a="1"/>
  <c r="G20" i="1" l="1"/>
  <c r="I134" i="1" a="1"/>
  <c r="I134" i="1" s="1"/>
  <c r="H134" i="1" a="1"/>
  <c r="H134" i="1" s="1"/>
  <c r="F20" i="1"/>
  <c r="E20" i="1"/>
  <c r="B78" i="1"/>
  <c r="G78" i="1" a="1"/>
  <c r="H20" i="1" a="1"/>
  <c r="I20" i="1" a="1"/>
  <c r="E78" i="1" a="1"/>
  <c r="F78" i="1" a="1"/>
  <c r="B52" i="1" a="1"/>
  <c r="G78" i="1" l="1"/>
  <c r="I20" i="1"/>
  <c r="H20" i="1"/>
  <c r="F78" i="1"/>
  <c r="E78" i="1"/>
  <c r="B52" i="1"/>
  <c r="G52" i="1" a="1"/>
  <c r="H78" i="1" a="1"/>
  <c r="I78" i="1" a="1"/>
  <c r="E52" i="1" a="1"/>
  <c r="F52" i="1" a="1"/>
  <c r="B69" i="1" a="1"/>
  <c r="G52" i="1" l="1"/>
  <c r="I78" i="1"/>
  <c r="H78" i="1"/>
  <c r="F52" i="1"/>
  <c r="E52" i="1"/>
  <c r="B69" i="1"/>
  <c r="G69" i="1" a="1"/>
  <c r="H52" i="1" a="1"/>
  <c r="I52" i="1" a="1"/>
  <c r="E69" i="1" a="1"/>
  <c r="F69" i="1" a="1"/>
  <c r="B135" i="1" a="1"/>
  <c r="G69" i="1" l="1"/>
  <c r="I52" i="1"/>
  <c r="H52" i="1"/>
  <c r="F69" i="1"/>
  <c r="E69" i="1"/>
  <c r="B135" i="1"/>
  <c r="G135" i="1" a="1"/>
  <c r="H69" i="1" a="1"/>
  <c r="I69" i="1" a="1"/>
  <c r="E135" i="1" a="1"/>
  <c r="F135" i="1" a="1"/>
  <c r="B103" i="1" a="1"/>
  <c r="G135" i="1" l="1"/>
  <c r="I69" i="1"/>
  <c r="H69" i="1"/>
  <c r="F135" i="1"/>
  <c r="E135" i="1"/>
  <c r="B103" i="1"/>
  <c r="G103" i="1" a="1"/>
  <c r="E103" i="1" a="1"/>
  <c r="F103" i="1" a="1"/>
  <c r="B117" i="1" a="1"/>
  <c r="G103" i="1" l="1"/>
  <c r="I135" i="1" a="1"/>
  <c r="I135" i="1" s="1"/>
  <c r="H135" i="1" a="1"/>
  <c r="H135" i="1" s="1"/>
  <c r="F103" i="1"/>
  <c r="E103" i="1"/>
  <c r="B117" i="1"/>
  <c r="G117" i="1" a="1"/>
  <c r="E117" i="1" a="1"/>
  <c r="F117" i="1" a="1"/>
  <c r="B12" i="1" a="1"/>
  <c r="G117" i="1" l="1"/>
  <c r="I103" i="1" a="1"/>
  <c r="I103" i="1" s="1"/>
  <c r="H103" i="1" a="1"/>
  <c r="H103" i="1" s="1"/>
  <c r="F117" i="1"/>
  <c r="E117" i="1"/>
  <c r="B12" i="1"/>
  <c r="G12" i="1" a="1"/>
  <c r="E12" i="1" a="1"/>
  <c r="F12" i="1" a="1"/>
  <c r="B60" i="1" a="1"/>
  <c r="G12" i="1" l="1"/>
  <c r="I117" i="1" a="1"/>
  <c r="I117" i="1" s="1"/>
  <c r="H117" i="1" a="1"/>
  <c r="H117" i="1" s="1"/>
  <c r="F12" i="1"/>
  <c r="E12" i="1"/>
  <c r="B60" i="1"/>
  <c r="G60" i="1" a="1"/>
  <c r="E60" i="1" a="1"/>
  <c r="F60" i="1" a="1"/>
  <c r="B54" i="1" a="1"/>
  <c r="G60" i="1" l="1"/>
  <c r="I12" i="1" a="1"/>
  <c r="I12" i="1" s="1"/>
  <c r="H12" i="1" a="1"/>
  <c r="H12" i="1" s="1"/>
  <c r="F60" i="1"/>
  <c r="E60" i="1"/>
  <c r="B54" i="1"/>
  <c r="G54" i="1" a="1"/>
  <c r="H60" i="1" a="1"/>
  <c r="I60" i="1" a="1"/>
  <c r="E54" i="1" a="1"/>
  <c r="F54" i="1" a="1"/>
  <c r="B22" i="1" a="1"/>
  <c r="G54" i="1" l="1"/>
  <c r="I60" i="1"/>
  <c r="H60" i="1"/>
  <c r="F54" i="1"/>
  <c r="E54" i="1"/>
  <c r="B22" i="1"/>
  <c r="G22" i="1" a="1"/>
  <c r="H54" i="1" a="1"/>
  <c r="I54" i="1" a="1"/>
  <c r="E22" i="1" a="1"/>
  <c r="F22" i="1" a="1"/>
  <c r="B38" i="1" a="1"/>
  <c r="G22" i="1" l="1"/>
  <c r="I54" i="1"/>
  <c r="H54" i="1"/>
  <c r="F22" i="1"/>
  <c r="E22" i="1"/>
  <c r="B38" i="1"/>
  <c r="G38" i="1" a="1"/>
  <c r="E38" i="1" a="1"/>
  <c r="F38" i="1" a="1"/>
  <c r="B7" i="1" a="1"/>
  <c r="G38" i="1" l="1"/>
  <c r="H22" i="1" a="1"/>
  <c r="H22" i="1" s="1"/>
  <c r="I22" i="1" a="1"/>
  <c r="I22" i="1" s="1"/>
  <c r="F38" i="1"/>
  <c r="E38" i="1"/>
  <c r="B7" i="1"/>
  <c r="G7" i="1" a="1"/>
  <c r="E7" i="1" a="1"/>
  <c r="F7" i="1" a="1"/>
  <c r="B132" i="1" a="1"/>
  <c r="G7" i="1" l="1"/>
  <c r="I38" i="1" a="1"/>
  <c r="I38" i="1" s="1"/>
  <c r="H38" i="1" a="1"/>
  <c r="H38" i="1" s="1"/>
  <c r="F7" i="1"/>
  <c r="E7" i="1"/>
  <c r="B132" i="1"/>
  <c r="G132" i="1" a="1"/>
  <c r="E132" i="1" a="1"/>
  <c r="F132" i="1" a="1"/>
  <c r="B8" i="1" a="1"/>
  <c r="G132" i="1" l="1"/>
  <c r="I7" i="1" a="1"/>
  <c r="I7" i="1" s="1"/>
  <c r="H7" i="1" a="1"/>
  <c r="H7" i="1" s="1"/>
  <c r="F132" i="1"/>
  <c r="E132" i="1"/>
  <c r="B8" i="1"/>
  <c r="G8" i="1" a="1"/>
  <c r="E8" i="1" a="1"/>
  <c r="F8" i="1" a="1"/>
  <c r="B97" i="1" a="1"/>
  <c r="G8" i="1" l="1"/>
  <c r="I132" i="1" a="1"/>
  <c r="I132" i="1" s="1"/>
  <c r="H132" i="1" a="1"/>
  <c r="H132" i="1" s="1"/>
  <c r="F8" i="1"/>
  <c r="E8" i="1"/>
  <c r="B97" i="1"/>
  <c r="G97" i="1" a="1"/>
  <c r="E97" i="1" a="1"/>
  <c r="F97" i="1" a="1"/>
  <c r="B142" i="1" a="1"/>
  <c r="G97" i="1" l="1"/>
  <c r="I8" i="1" a="1"/>
  <c r="I8" i="1" s="1"/>
  <c r="H8" i="1" a="1"/>
  <c r="H8" i="1" s="1"/>
  <c r="F97" i="1"/>
  <c r="E97" i="1"/>
  <c r="B142" i="1"/>
  <c r="G142" i="1" a="1"/>
  <c r="E142" i="1" a="1"/>
  <c r="F142" i="1" a="1"/>
  <c r="B85" i="1" a="1"/>
  <c r="G142" i="1" l="1"/>
  <c r="H97" i="1" a="1"/>
  <c r="H97" i="1" s="1"/>
  <c r="I97" i="1" a="1"/>
  <c r="I97" i="1" s="1"/>
  <c r="F142" i="1"/>
  <c r="E142" i="1"/>
  <c r="B85" i="1"/>
  <c r="G85" i="1" a="1"/>
  <c r="E85" i="1" a="1"/>
  <c r="F85" i="1" a="1"/>
  <c r="B51" i="1" a="1"/>
  <c r="G85" i="1" l="1"/>
  <c r="H142" i="1" a="1"/>
  <c r="H142" i="1" s="1"/>
  <c r="I142" i="1" a="1"/>
  <c r="I142" i="1" s="1"/>
  <c r="F85" i="1"/>
  <c r="E85" i="1"/>
  <c r="B51" i="1"/>
  <c r="G51" i="1" a="1"/>
  <c r="E51" i="1" a="1"/>
  <c r="F51" i="1" a="1"/>
  <c r="B84" i="1" a="1"/>
  <c r="G51" i="1" l="1"/>
  <c r="H85" i="1" a="1"/>
  <c r="H85" i="1" s="1"/>
  <c r="I85" i="1" a="1"/>
  <c r="I85" i="1" s="1"/>
  <c r="F51" i="1"/>
  <c r="E51" i="1"/>
  <c r="B84" i="1"/>
  <c r="G84" i="1" a="1"/>
  <c r="H51" i="1" a="1"/>
  <c r="I51" i="1" a="1"/>
  <c r="E84" i="1" a="1"/>
  <c r="F84" i="1" a="1"/>
  <c r="B21" i="1" a="1"/>
  <c r="G84" i="1" l="1"/>
  <c r="I51" i="1"/>
  <c r="H51" i="1"/>
  <c r="F84" i="1"/>
  <c r="E84" i="1"/>
  <c r="B21" i="1"/>
  <c r="G21" i="1" a="1"/>
  <c r="E21" i="1" a="1"/>
  <c r="F21" i="1" a="1"/>
  <c r="B102" i="1" a="1"/>
  <c r="G21" i="1" l="1"/>
  <c r="H84" i="1" a="1"/>
  <c r="H84" i="1" s="1"/>
  <c r="I84" i="1" a="1"/>
  <c r="I84" i="1" s="1"/>
  <c r="F21" i="1"/>
  <c r="E21" i="1"/>
  <c r="B102" i="1"/>
  <c r="G102" i="1" a="1"/>
  <c r="E102" i="1" a="1"/>
  <c r="F102" i="1" a="1"/>
  <c r="B70" i="1" a="1"/>
  <c r="G102" i="1" l="1"/>
  <c r="H21" i="1" a="1"/>
  <c r="H21" i="1" s="1"/>
  <c r="I21" i="1" a="1"/>
  <c r="I21" i="1" s="1"/>
  <c r="F102" i="1"/>
  <c r="E102" i="1"/>
  <c r="B70" i="1"/>
  <c r="G70" i="1" a="1"/>
  <c r="E70" i="1" a="1"/>
  <c r="F70" i="1" a="1"/>
  <c r="B116" i="1" a="1"/>
  <c r="G70" i="1" l="1"/>
  <c r="I102" i="1" a="1"/>
  <c r="I102" i="1" s="1"/>
  <c r="H102" i="1" a="1"/>
  <c r="H102" i="1" s="1"/>
  <c r="F70" i="1"/>
  <c r="E70" i="1"/>
  <c r="B116" i="1"/>
  <c r="G116" i="1" a="1"/>
  <c r="H70" i="1" a="1"/>
  <c r="I70" i="1" a="1"/>
  <c r="E116" i="1" a="1"/>
  <c r="F116" i="1" a="1"/>
  <c r="B39" i="1" a="1"/>
  <c r="G116" i="1" l="1"/>
  <c r="I70" i="1"/>
  <c r="H70" i="1"/>
  <c r="F116" i="1"/>
  <c r="E116" i="1"/>
  <c r="B39" i="1"/>
  <c r="G39" i="1" a="1"/>
  <c r="E39" i="1" a="1"/>
  <c r="F39" i="1" a="1"/>
  <c r="B75" i="1" a="1"/>
  <c r="G39" i="1" l="1"/>
  <c r="I116" i="1" a="1"/>
  <c r="I116" i="1" s="1"/>
  <c r="H116" i="1" a="1"/>
  <c r="H116" i="1" s="1"/>
  <c r="F39" i="1"/>
  <c r="E39" i="1"/>
  <c r="B75" i="1"/>
  <c r="G75" i="1" a="1"/>
  <c r="E75" i="1" a="1"/>
  <c r="F75" i="1" a="1"/>
  <c r="B74" i="1" a="1"/>
  <c r="G75" i="1" l="1"/>
  <c r="I39" i="1" a="1"/>
  <c r="I39" i="1" s="1"/>
  <c r="H39" i="1" a="1"/>
  <c r="H39" i="1" s="1"/>
  <c r="F75" i="1"/>
  <c r="E75" i="1"/>
  <c r="B74" i="1"/>
  <c r="G74" i="1" a="1"/>
  <c r="H75" i="1" a="1"/>
  <c r="I75" i="1" a="1"/>
  <c r="E74" i="1" a="1"/>
  <c r="F74" i="1" a="1"/>
  <c r="B24" i="1" a="1"/>
  <c r="G74" i="1" l="1"/>
  <c r="I75" i="1"/>
  <c r="H75" i="1"/>
  <c r="F74" i="1"/>
  <c r="E74" i="1"/>
  <c r="B24" i="1"/>
  <c r="G24" i="1" a="1"/>
  <c r="H74" i="1" a="1"/>
  <c r="I74" i="1" a="1"/>
  <c r="E24" i="1" a="1"/>
  <c r="F24" i="1" a="1"/>
  <c r="B25" i="1" a="1"/>
  <c r="G24" i="1" l="1"/>
  <c r="I74" i="1"/>
  <c r="H74" i="1"/>
  <c r="F24" i="1"/>
  <c r="E24" i="1"/>
  <c r="B25" i="1"/>
  <c r="G25" i="1" a="1"/>
  <c r="E25" i="1" a="1"/>
  <c r="F25" i="1" a="1"/>
  <c r="B104" i="1" a="1"/>
  <c r="G25" i="1" l="1"/>
  <c r="H24" i="1" a="1"/>
  <c r="H24" i="1" s="1"/>
  <c r="I24" i="1" a="1"/>
  <c r="I24" i="1" s="1"/>
  <c r="F25" i="1"/>
  <c r="E25" i="1"/>
  <c r="B104" i="1"/>
  <c r="G104" i="1" a="1"/>
  <c r="E104" i="1" a="1"/>
  <c r="F104" i="1" a="1"/>
  <c r="B105" i="1" a="1"/>
  <c r="G104" i="1" l="1"/>
  <c r="I25" i="1" a="1"/>
  <c r="I25" i="1" s="1"/>
  <c r="H25" i="1" a="1"/>
  <c r="H25" i="1" s="1"/>
  <c r="F104" i="1"/>
  <c r="E104" i="1"/>
  <c r="B105" i="1"/>
  <c r="G105" i="1" a="1"/>
  <c r="E105" i="1" a="1"/>
  <c r="F105" i="1" a="1"/>
  <c r="B19" i="1" a="1"/>
  <c r="G105" i="1" l="1"/>
  <c r="H104" i="1" a="1"/>
  <c r="H104" i="1" s="1"/>
  <c r="I104" i="1" a="1"/>
  <c r="I104" i="1" s="1"/>
  <c r="F105" i="1"/>
  <c r="E105" i="1"/>
  <c r="B19" i="1"/>
  <c r="G19" i="1" a="1"/>
  <c r="E19" i="1" a="1"/>
  <c r="F19" i="1" a="1"/>
  <c r="B40" i="1" a="1"/>
  <c r="G19" i="1" l="1"/>
  <c r="H105" i="1" a="1"/>
  <c r="H105" i="1" s="1"/>
  <c r="I105" i="1" a="1"/>
  <c r="I105" i="1" s="1"/>
  <c r="F19" i="1"/>
  <c r="E19" i="1"/>
  <c r="B40" i="1"/>
  <c r="G40" i="1" a="1"/>
  <c r="E40" i="1" a="1"/>
  <c r="F40" i="1" a="1"/>
  <c r="B120" i="1" a="1"/>
  <c r="G40" i="1" l="1"/>
  <c r="H19" i="1" a="1"/>
  <c r="H19" i="1" s="1"/>
  <c r="I19" i="1" a="1"/>
  <c r="I19" i="1" s="1"/>
  <c r="F40" i="1"/>
  <c r="E40" i="1"/>
  <c r="B120" i="1"/>
  <c r="G120" i="1" a="1"/>
  <c r="E120" i="1" a="1"/>
  <c r="F120" i="1" a="1"/>
  <c r="B119" i="1" a="1"/>
  <c r="G120" i="1" l="1"/>
  <c r="I40" i="1" a="1"/>
  <c r="I40" i="1" s="1"/>
  <c r="H40" i="1" a="1"/>
  <c r="H40" i="1" s="1"/>
  <c r="F120" i="1"/>
  <c r="E120" i="1"/>
  <c r="B119" i="1"/>
  <c r="G119" i="1" a="1"/>
  <c r="E119" i="1" a="1"/>
  <c r="F119" i="1" a="1"/>
  <c r="B35" i="1" a="1"/>
  <c r="G119" i="1" l="1"/>
  <c r="I120" i="1" a="1"/>
  <c r="I120" i="1" s="1"/>
  <c r="H120" i="1" a="1"/>
  <c r="H120" i="1" s="1"/>
  <c r="F119" i="1"/>
  <c r="E119" i="1"/>
  <c r="B35" i="1"/>
  <c r="G35" i="1" a="1"/>
  <c r="E35" i="1" a="1"/>
  <c r="F35" i="1" a="1"/>
  <c r="B3" i="1" a="1"/>
  <c r="G35" i="1" l="1"/>
  <c r="H119" i="1" a="1"/>
  <c r="H119" i="1" s="1"/>
  <c r="I119" i="1" a="1"/>
  <c r="I119" i="1" s="1"/>
  <c r="F35" i="1"/>
  <c r="E35" i="1"/>
  <c r="B3" i="1"/>
  <c r="G3" i="1" a="1"/>
  <c r="E3" i="1" a="1"/>
  <c r="F3" i="1" a="1"/>
  <c r="B83" i="1" a="1"/>
  <c r="G3" i="1" l="1"/>
  <c r="I35" i="1" a="1"/>
  <c r="I35" i="1" s="1"/>
  <c r="H35" i="1" a="1"/>
  <c r="H35" i="1" s="1"/>
  <c r="F3" i="1"/>
  <c r="E3" i="1"/>
  <c r="B83" i="1"/>
  <c r="G83" i="1" a="1"/>
  <c r="E83" i="1" a="1"/>
  <c r="F83" i="1" a="1"/>
  <c r="B118" i="1" a="1"/>
  <c r="G83" i="1" l="1"/>
  <c r="I3" i="1" a="1"/>
  <c r="I3" i="1" s="1"/>
  <c r="H3" i="1" a="1"/>
  <c r="H3" i="1" s="1"/>
  <c r="F83" i="1"/>
  <c r="E83" i="1"/>
  <c r="B118" i="1"/>
  <c r="G118" i="1" a="1"/>
  <c r="E118" i="1" a="1"/>
  <c r="F118" i="1" a="1"/>
  <c r="B115" i="1" a="1"/>
  <c r="G118" i="1" l="1"/>
  <c r="I83" i="1" a="1"/>
  <c r="I83" i="1" s="1"/>
  <c r="H83" i="1" a="1"/>
  <c r="H83" i="1" s="1"/>
  <c r="F118" i="1"/>
  <c r="E118" i="1"/>
  <c r="B115" i="1"/>
  <c r="G115" i="1" a="1"/>
  <c r="E115" i="1" a="1"/>
  <c r="F115" i="1" a="1"/>
  <c r="B131" i="1" a="1"/>
  <c r="G115" i="1" l="1"/>
  <c r="H118" i="1" a="1"/>
  <c r="H118" i="1" s="1"/>
  <c r="I118" i="1" a="1"/>
  <c r="I118" i="1" s="1"/>
  <c r="F115" i="1"/>
  <c r="E115" i="1"/>
  <c r="B131" i="1"/>
  <c r="G131" i="1" a="1"/>
  <c r="E131" i="1" a="1"/>
  <c r="F131" i="1" a="1"/>
  <c r="B26" i="1" a="1"/>
  <c r="G131" i="1" l="1"/>
  <c r="I115" i="1" a="1"/>
  <c r="I115" i="1" s="1"/>
  <c r="H115" i="1" a="1"/>
  <c r="H115" i="1" s="1"/>
  <c r="F131" i="1"/>
  <c r="E131" i="1"/>
  <c r="B26" i="1"/>
  <c r="G26" i="1" a="1"/>
  <c r="E26" i="1" a="1"/>
  <c r="F26" i="1" a="1"/>
  <c r="B67" i="1" a="1"/>
  <c r="G26" i="1" l="1"/>
  <c r="H131" i="1" a="1"/>
  <c r="H131" i="1" s="1"/>
  <c r="I131" i="1" a="1"/>
  <c r="I131" i="1" s="1"/>
  <c r="F26" i="1"/>
  <c r="E26" i="1"/>
  <c r="B67" i="1"/>
  <c r="G67" i="1" a="1"/>
  <c r="E67" i="1" a="1"/>
  <c r="F67" i="1" a="1"/>
  <c r="B43" i="1" a="1"/>
  <c r="G67" i="1" l="1"/>
  <c r="H26" i="1" a="1"/>
  <c r="H26" i="1" s="1"/>
  <c r="I26" i="1" a="1"/>
  <c r="I26" i="1" s="1"/>
  <c r="F67" i="1"/>
  <c r="E67" i="1"/>
  <c r="B43" i="1"/>
  <c r="G43" i="1" a="1"/>
  <c r="H67" i="1" a="1"/>
  <c r="I67" i="1" a="1"/>
  <c r="E43" i="1" a="1"/>
  <c r="F43" i="1" a="1"/>
  <c r="B73" i="1" a="1"/>
  <c r="G43" i="1" l="1"/>
  <c r="I67" i="1"/>
  <c r="H67" i="1"/>
  <c r="F43" i="1"/>
  <c r="E43" i="1"/>
  <c r="B73" i="1"/>
  <c r="G73" i="1" a="1"/>
  <c r="H43" i="1" a="1"/>
  <c r="I43" i="1" a="1"/>
  <c r="E73" i="1" a="1"/>
  <c r="F73" i="1" a="1"/>
  <c r="B99" i="1" a="1"/>
  <c r="G73" i="1" l="1"/>
  <c r="I43" i="1"/>
  <c r="H43" i="1"/>
  <c r="F73" i="1"/>
  <c r="E73" i="1"/>
  <c r="B99" i="1"/>
  <c r="G99" i="1" a="1"/>
  <c r="H73" i="1" a="1"/>
  <c r="I73" i="1" a="1"/>
  <c r="E99" i="1" a="1"/>
  <c r="F99" i="1" a="1"/>
  <c r="B2" i="1" a="1"/>
  <c r="G99" i="1" l="1"/>
  <c r="I73" i="1"/>
  <c r="H73" i="1"/>
  <c r="F99" i="1"/>
  <c r="E99" i="1"/>
  <c r="B2" i="1"/>
  <c r="G2" i="1" a="1"/>
  <c r="E2" i="1" a="1"/>
  <c r="F2" i="1" a="1"/>
  <c r="G2" i="1" l="1"/>
  <c r="I99" i="1" a="1"/>
  <c r="I99" i="1" s="1"/>
  <c r="H99" i="1" a="1"/>
  <c r="H99" i="1" s="1"/>
  <c r="F2" i="1"/>
  <c r="E2" i="1"/>
  <c r="I2" i="1" l="1" a="1"/>
  <c r="I2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<sst xmlns="http://schemas.openxmlformats.org/spreadsheetml/2006/main" count="1847" uniqueCount="702">
  <si>
    <t>AT0000730007</t>
  </si>
  <si>
    <t>AT0000743059</t>
  </si>
  <si>
    <t>CH0002811286</t>
  </si>
  <si>
    <t>CH0012005267</t>
  </si>
  <si>
    <t>CH0012032048</t>
  </si>
  <si>
    <t>CH0012142631</t>
  </si>
  <si>
    <t>CH0012214059</t>
  </si>
  <si>
    <t>CH0012221716</t>
  </si>
  <si>
    <t>CH0012549785</t>
  </si>
  <si>
    <t>CH0025751329</t>
  </si>
  <si>
    <t>CH0038863350</t>
  </si>
  <si>
    <t>CH0244767585</t>
  </si>
  <si>
    <t>CH0311864901</t>
  </si>
  <si>
    <t>CH0432492467</t>
  </si>
  <si>
    <t>CH0478634105</t>
  </si>
  <si>
    <t>CH1175448666</t>
  </si>
  <si>
    <t>DE0007100000</t>
  </si>
  <si>
    <t>DE0007664039</t>
  </si>
  <si>
    <t>DE000A0S9GB0</t>
  </si>
  <si>
    <t>DE000DTR0CK8</t>
  </si>
  <si>
    <t>DK0062498333</t>
  </si>
  <si>
    <t>ES0105200002</t>
  </si>
  <si>
    <t>ES0105200416</t>
  </si>
  <si>
    <t>ES0144580Y14</t>
  </si>
  <si>
    <t>FI4000074984</t>
  </si>
  <si>
    <t>FR0000121329</t>
  </si>
  <si>
    <t>FR0000125338</t>
  </si>
  <si>
    <t>FR0000125486</t>
  </si>
  <si>
    <t>FR0000130452</t>
  </si>
  <si>
    <t>FR0000131104</t>
  </si>
  <si>
    <t>FR0011408426</t>
  </si>
  <si>
    <t>FR0011475078</t>
  </si>
  <si>
    <t>FR0014003TT8</t>
  </si>
  <si>
    <t>GB0030913577</t>
  </si>
  <si>
    <t>GB00B15KXV33</t>
  </si>
  <si>
    <t>GB00B57TMD12</t>
  </si>
  <si>
    <t>GB00BH4HKS39</t>
  </si>
  <si>
    <t>IE0000669501</t>
  </si>
  <si>
    <t>IE0004906560</t>
  </si>
  <si>
    <t>IE0005042456</t>
  </si>
  <si>
    <t>IE00B0M62S72</t>
  </si>
  <si>
    <t>IE00B0M62X26</t>
  </si>
  <si>
    <t>IE00B3F81K65</t>
  </si>
  <si>
    <t>IE00B42Z5J44</t>
  </si>
  <si>
    <t>IE00B4PY7Y77</t>
  </si>
  <si>
    <t>IE00B4WXJJ64</t>
  </si>
  <si>
    <t>IE00B5BMR087</t>
  </si>
  <si>
    <t>IE00B685HQ37</t>
  </si>
  <si>
    <t>IE00B8QY5R36</t>
  </si>
  <si>
    <t>IE00B96LYN04</t>
  </si>
  <si>
    <t>IE00B9721Z33</t>
  </si>
  <si>
    <t>IE00B9M6RS56</t>
  </si>
  <si>
    <t>IE00BD08G390</t>
  </si>
  <si>
    <t>IE00BD08G515</t>
  </si>
  <si>
    <t>IE00BF4K8391</t>
  </si>
  <si>
    <t>IE00BJCX8K53</t>
  </si>
  <si>
    <t>IE00BJCXFM61</t>
  </si>
  <si>
    <t>IE00BMCT1J48</t>
  </si>
  <si>
    <t>IE00BMVX2492</t>
  </si>
  <si>
    <t>IE00BN92ZH94</t>
  </si>
  <si>
    <t>IT0003128367</t>
  </si>
  <si>
    <t>JE00B1VS3770</t>
  </si>
  <si>
    <t>LU0428317514</t>
  </si>
  <si>
    <t>LU0646914142</t>
  </si>
  <si>
    <t>LU0908500753</t>
  </si>
  <si>
    <t>LU1143051891</t>
  </si>
  <si>
    <t>LU1585266114</t>
  </si>
  <si>
    <t>LU1693257310</t>
  </si>
  <si>
    <t>LU1720112173</t>
  </si>
  <si>
    <t>LU1873127366</t>
  </si>
  <si>
    <t>LU1873128927</t>
  </si>
  <si>
    <t>LU1873130741</t>
  </si>
  <si>
    <t>LU1901202280</t>
  </si>
  <si>
    <t>LU1901202363</t>
  </si>
  <si>
    <t>LU1912828099</t>
  </si>
  <si>
    <t>LU1939246549</t>
  </si>
  <si>
    <t>LU1958551613</t>
  </si>
  <si>
    <t>LU2392538067</t>
  </si>
  <si>
    <t>LU2420562212</t>
  </si>
  <si>
    <t>NL0009434992</t>
  </si>
  <si>
    <t>NL0010273215</t>
  </si>
  <si>
    <t>NL0010545661</t>
  </si>
  <si>
    <t>NL0011794037</t>
  </si>
  <si>
    <t>NL0012866412</t>
  </si>
  <si>
    <t>SE0011166594</t>
  </si>
  <si>
    <t>SE0012230217</t>
  </si>
  <si>
    <t>SE0014957452</t>
  </si>
  <si>
    <t>SE0015346671</t>
  </si>
  <si>
    <t>SE0015961909</t>
  </si>
  <si>
    <t>SE0016074058</t>
  </si>
  <si>
    <t>SE0017085418</t>
  </si>
  <si>
    <t>SE0017232010</t>
  </si>
  <si>
    <t>SE0019914383</t>
  </si>
  <si>
    <t>SE0020050417</t>
  </si>
  <si>
    <t>US0079031078</t>
  </si>
  <si>
    <t>US00846U1016</t>
  </si>
  <si>
    <t>US0320951017</t>
  </si>
  <si>
    <t>US0382221051</t>
  </si>
  <si>
    <t>US1101221083</t>
  </si>
  <si>
    <t>US11135F1012</t>
  </si>
  <si>
    <t>US1508701034</t>
  </si>
  <si>
    <t>US1729674242</t>
  </si>
  <si>
    <t>US20030N1019</t>
  </si>
  <si>
    <t>US2441991054</t>
  </si>
  <si>
    <t>US25402D1028</t>
  </si>
  <si>
    <t>US38141G1040</t>
  </si>
  <si>
    <t>US46090E1038</t>
  </si>
  <si>
    <t>US4642872422</t>
  </si>
  <si>
    <t>US4642875565</t>
  </si>
  <si>
    <t>US4642888105</t>
  </si>
  <si>
    <t>US46434G7640</t>
  </si>
  <si>
    <t>US5128073062</t>
  </si>
  <si>
    <t>US5398301094</t>
  </si>
  <si>
    <t>US58933Y1055</t>
  </si>
  <si>
    <t>US5949181045</t>
  </si>
  <si>
    <t>US6174464486</t>
  </si>
  <si>
    <t>US6668071029</t>
  </si>
  <si>
    <t>US6937181088</t>
  </si>
  <si>
    <t>US7170811035</t>
  </si>
  <si>
    <t>US7475251036</t>
  </si>
  <si>
    <t>US74758T3032</t>
  </si>
  <si>
    <t>US78462F1030</t>
  </si>
  <si>
    <t>US78463V1070</t>
  </si>
  <si>
    <t>US78464A7634</t>
  </si>
  <si>
    <t>US79466L3024</t>
  </si>
  <si>
    <t>US9026811052</t>
  </si>
  <si>
    <t>US91282CHP95</t>
  </si>
  <si>
    <t>USV03230AA39</t>
  </si>
  <si>
    <t>VGG5532C1288</t>
  </si>
  <si>
    <t>VGG5532C1361</t>
  </si>
  <si>
    <t>VGG5532C1445</t>
  </si>
  <si>
    <t>VGG7238P1146</t>
  </si>
  <si>
    <t>VGG7238PAA45</t>
  </si>
  <si>
    <t>XD0035937404</t>
  </si>
  <si>
    <t>XD0113751685</t>
  </si>
  <si>
    <t>XD0427641663</t>
  </si>
  <si>
    <t>XD1117869309</t>
  </si>
  <si>
    <t>XD1259254963</t>
  </si>
  <si>
    <t>XD1301052019</t>
  </si>
  <si>
    <t>XS1978209002</t>
  </si>
  <si>
    <t>XS1978210273</t>
  </si>
  <si>
    <t>XS2677029691</t>
  </si>
  <si>
    <t>XS2873545417</t>
  </si>
  <si>
    <t>Ticker</t>
  </si>
  <si>
    <t>Isin</t>
  </si>
  <si>
    <t>Gold Bar 1kg</t>
  </si>
  <si>
    <t>USD</t>
  </si>
  <si>
    <t>Segetia Swiss Property</t>
  </si>
  <si>
    <t>CHF</t>
  </si>
  <si>
    <t>Alt</t>
  </si>
  <si>
    <t>RealEstate</t>
  </si>
  <si>
    <t>12% Edison Struct jun26</t>
  </si>
  <si>
    <t>EUR</t>
  </si>
  <si>
    <t>SEK</t>
  </si>
  <si>
    <t>PrivateLoan</t>
  </si>
  <si>
    <t>TIIp</t>
  </si>
  <si>
    <t>3.% App Finance Default</t>
  </si>
  <si>
    <t>Debt</t>
  </si>
  <si>
    <t>LL -F-</t>
  </si>
  <si>
    <t>LL -G-</t>
  </si>
  <si>
    <t>LL -D-</t>
  </si>
  <si>
    <t>Rose Grove</t>
  </si>
  <si>
    <t>Maranatha Fund</t>
  </si>
  <si>
    <t>Alphaquest Cay</t>
  </si>
  <si>
    <t>Qbera</t>
  </si>
  <si>
    <t>Peters OneRiver</t>
  </si>
  <si>
    <t>GBP</t>
  </si>
  <si>
    <t>Qbera 0421</t>
  </si>
  <si>
    <t>Abengoa 1.5% Nts</t>
  </si>
  <si>
    <t>Abengoa 1.5% Nts2</t>
  </si>
  <si>
    <t>10% Edison Truct</t>
  </si>
  <si>
    <t>10% Edison Truct 0226</t>
  </si>
  <si>
    <t>NPV Flr mar26</t>
  </si>
  <si>
    <t>Real Dan Flr Mar24</t>
  </si>
  <si>
    <t>Gribskov Ejd 24</t>
  </si>
  <si>
    <t>9% Mathesa jun25</t>
  </si>
  <si>
    <t>12% Gammelhavn feb26</t>
  </si>
  <si>
    <t>11% Frederiksborg sep21</t>
  </si>
  <si>
    <t>10% Smallville jun23</t>
  </si>
  <si>
    <t>10.5% NCP Nordic May25</t>
  </si>
  <si>
    <t>ANDR AV Equity</t>
  </si>
  <si>
    <t>Equity</t>
  </si>
  <si>
    <t>Common Stock</t>
  </si>
  <si>
    <t>Industrials</t>
  </si>
  <si>
    <t>OMV AV Equity</t>
  </si>
  <si>
    <t>Energy</t>
  </si>
  <si>
    <t>NOVN SW Equity</t>
  </si>
  <si>
    <t>Health Care</t>
  </si>
  <si>
    <t>ROG SW Equity</t>
  </si>
  <si>
    <t>CLN SW Equity</t>
  </si>
  <si>
    <t>Materials</t>
  </si>
  <si>
    <t>HOLN SW Equity</t>
  </si>
  <si>
    <t>ABBN SW Equity</t>
  </si>
  <si>
    <t>SOON SW Equity</t>
  </si>
  <si>
    <t>LOGN SW Equity</t>
  </si>
  <si>
    <t>Information Technology</t>
  </si>
  <si>
    <t>NESN SW Equity</t>
  </si>
  <si>
    <t>Consumer Staples</t>
  </si>
  <si>
    <t>UBSG SW Equity</t>
  </si>
  <si>
    <t>Financials</t>
  </si>
  <si>
    <t>VACN SW Equity</t>
  </si>
  <si>
    <t>ALC SW Equity</t>
  </si>
  <si>
    <t>AEVS SW Equity</t>
  </si>
  <si>
    <t>STMN SW Equity</t>
  </si>
  <si>
    <t>MBG GR Equity</t>
  </si>
  <si>
    <t>Consumer Discretionary</t>
  </si>
  <si>
    <t>VOW GR Equity</t>
  </si>
  <si>
    <t>DTG GR Equity</t>
  </si>
  <si>
    <t>NOVOB DC Equity</t>
  </si>
  <si>
    <t>DKK</t>
  </si>
  <si>
    <t>ABG SM Equity</t>
  </si>
  <si>
    <t>IBE SM Equity</t>
  </si>
  <si>
    <t>Utilities</t>
  </si>
  <si>
    <t>VALMT FH Equity</t>
  </si>
  <si>
    <t>HO FP Equity</t>
  </si>
  <si>
    <t>CAP FP Equity</t>
  </si>
  <si>
    <t>DG FP Equity</t>
  </si>
  <si>
    <t>FGR FP Equity</t>
  </si>
  <si>
    <t>BNP FP Equity</t>
  </si>
  <si>
    <t>DSY FP Equity</t>
  </si>
  <si>
    <t>BT/A LN Equity</t>
  </si>
  <si>
    <t>Communication Services</t>
  </si>
  <si>
    <t>VOD LN Equity</t>
  </si>
  <si>
    <t>GLB ID Equity</t>
  </si>
  <si>
    <t>KYGA ID Equity</t>
  </si>
  <si>
    <t>ENEL IM Equity</t>
  </si>
  <si>
    <t>LYB US Equity</t>
  </si>
  <si>
    <t>ASML NA Equity</t>
  </si>
  <si>
    <t>CNH US Equity</t>
  </si>
  <si>
    <t>AD NA Equity</t>
  </si>
  <si>
    <t>BESI NA Equity</t>
  </si>
  <si>
    <t>HEXAB SS Equity</t>
  </si>
  <si>
    <t>BOL SS Equity</t>
  </si>
  <si>
    <t>AMD US Equity</t>
  </si>
  <si>
    <t>A US Equity</t>
  </si>
  <si>
    <t>APH US Equity</t>
  </si>
  <si>
    <t>AMAT US Equity</t>
  </si>
  <si>
    <t>BMY US Equity</t>
  </si>
  <si>
    <t>AVGO US Equity</t>
  </si>
  <si>
    <t>CE US Equity</t>
  </si>
  <si>
    <t>C US Equity</t>
  </si>
  <si>
    <t>CMCSA US Equity</t>
  </si>
  <si>
    <t>DE US Equity</t>
  </si>
  <si>
    <t>DOCN US Equity</t>
  </si>
  <si>
    <t>GS US Equity</t>
  </si>
  <si>
    <t>LRCX US Equity</t>
  </si>
  <si>
    <t>LMT US Equity</t>
  </si>
  <si>
    <t>MRK US Equity</t>
  </si>
  <si>
    <t>MSFT US Equity</t>
  </si>
  <si>
    <t>MS US Equity</t>
  </si>
  <si>
    <t>NOC US Equity</t>
  </si>
  <si>
    <t>PCAR US Equity</t>
  </si>
  <si>
    <t>PFE US Equity</t>
  </si>
  <si>
    <t>QCOM US Equity</t>
  </si>
  <si>
    <t>QLYS US Equity</t>
  </si>
  <si>
    <t>CRM US Equity</t>
  </si>
  <si>
    <t>UGI US Equity</t>
  </si>
  <si>
    <t>LU2420562212 Corp</t>
  </si>
  <si>
    <t>SE0011166594 Corp</t>
  </si>
  <si>
    <t>SE0012230217 Corp</t>
  </si>
  <si>
    <t>SE0014957452 Corp</t>
  </si>
  <si>
    <t>SE0015346671 Corp</t>
  </si>
  <si>
    <t>SE0016074058 Corp</t>
  </si>
  <si>
    <t>SE0017085418 Corp</t>
  </si>
  <si>
    <t>SE0017232010 Corp</t>
  </si>
  <si>
    <t>SE0019914383 Corp</t>
  </si>
  <si>
    <t>US91282CHP95 Corp</t>
  </si>
  <si>
    <t>USV03230AA39 Corp</t>
  </si>
  <si>
    <t>XS2677029691 Corp</t>
  </si>
  <si>
    <t>XS2873545417 Corp</t>
  </si>
  <si>
    <t>Treasury</t>
  </si>
  <si>
    <t>Loans</t>
  </si>
  <si>
    <t>JPN FP Equity</t>
  </si>
  <si>
    <t>Fund</t>
  </si>
  <si>
    <t>Ami Japan Topix-D-Hdg-Eur</t>
  </si>
  <si>
    <t>RVMMBOI LN Equity</t>
  </si>
  <si>
    <t>Liontrust Uk Smaller Co-Iinc</t>
  </si>
  <si>
    <t>ISF LN Equity</t>
  </si>
  <si>
    <t>Ishares Core Ftse 100</t>
  </si>
  <si>
    <t>IDVY LN Equity</t>
  </si>
  <si>
    <t>Ishares Euro Dividend</t>
  </si>
  <si>
    <t>IJPE LN Equity</t>
  </si>
  <si>
    <t>Ishares Msci Jpn Month Eur-H</t>
  </si>
  <si>
    <t>CSPX LN Equity</t>
  </si>
  <si>
    <t>Ishares Core S&amp;P 500</t>
  </si>
  <si>
    <t>ARGIFEE LX Equity</t>
  </si>
  <si>
    <t>European Region</t>
  </si>
  <si>
    <t>Qcf Lux-Argonaut-A Eur</t>
  </si>
  <si>
    <t>MEUD LN Equity</t>
  </si>
  <si>
    <t>Lyxor Core Eurstx 600 Dr</t>
  </si>
  <si>
    <t>DREQUIA LX Equity</t>
  </si>
  <si>
    <t>Dharmaresearch Dr Equity-A</t>
  </si>
  <si>
    <t>QQQ US Equity</t>
  </si>
  <si>
    <t>Invesco Qqq Trust Series 1</t>
  </si>
  <si>
    <t>IBB US Equity</t>
  </si>
  <si>
    <t>Ishares Biotechnology Etf</t>
  </si>
  <si>
    <t>IHI US Equity</t>
  </si>
  <si>
    <t>Ishares U.S. Medical Devices</t>
  </si>
  <si>
    <t>EMXC US Equity</t>
  </si>
  <si>
    <t>Ishares Msci Emr Mrk Ex Chna</t>
  </si>
  <si>
    <t>SPY US Equity</t>
  </si>
  <si>
    <t>Spdr S&amp;P 500 Etf Trust</t>
  </si>
  <si>
    <t>SDY US Equity</t>
  </si>
  <si>
    <t>Spdr S&amp;P Dividend Etf</t>
  </si>
  <si>
    <t>TICRPLA FP Equity</t>
  </si>
  <si>
    <t>Fixed Income</t>
  </si>
  <si>
    <t>High Yield Bond</t>
  </si>
  <si>
    <t>Tikehau European Hgh Yld-Iae</t>
  </si>
  <si>
    <t>Ishares Euro Infl-Lkd Govt</t>
  </si>
  <si>
    <t>SGLO LN Equity</t>
  </si>
  <si>
    <t>Ishares Global Gov Bnd-Distr</t>
  </si>
  <si>
    <t>IHYU LN Equity</t>
  </si>
  <si>
    <t>Ishares Usd Hy Corp Usd Dist</t>
  </si>
  <si>
    <t>EUNH GR Equity</t>
  </si>
  <si>
    <t>Ishares Core Euro Govt Bond</t>
  </si>
  <si>
    <t>MUZSDEA ID Equity</t>
  </si>
  <si>
    <t>Muzinich Short Dur Hg Yd-Hgi</t>
  </si>
  <si>
    <t>Muzinich Sd Hy-Hd Eu In H</t>
  </si>
  <si>
    <t>LARAMYA ID Equity</t>
  </si>
  <si>
    <t>Muzin-Americayield-Eur Acc-H</t>
  </si>
  <si>
    <t>Muzinich Short Dur H/Y-Heah</t>
  </si>
  <si>
    <t>EMBE LN Equity</t>
  </si>
  <si>
    <t>Ishares Jpm Usd Em Bnd Eur-H</t>
  </si>
  <si>
    <t>Muzin-Glob Sht Dur Inv Gr-He</t>
  </si>
  <si>
    <t>Muzin-Glob Sht Dur In-Heurah</t>
  </si>
  <si>
    <t>CBEEIFP ID Equity</t>
  </si>
  <si>
    <t>Corum Butler Eur H/Y-Eur Ifp</t>
  </si>
  <si>
    <t>TLIQFAC ID Equity</t>
  </si>
  <si>
    <t>Tbcp Lqd Cr Inc Uci Fn-A Eur</t>
  </si>
  <si>
    <t>AREIIAA LX Equity</t>
  </si>
  <si>
    <t>Arc Fd-Eur Inc-Esg Sl-Ba</t>
  </si>
  <si>
    <t>Arc Fd-Eur Inc-Esg Sl-Ha</t>
  </si>
  <si>
    <t>TITSDRE LX Equity</t>
  </si>
  <si>
    <t>Tikehau Short Durtin-Iraceur</t>
  </si>
  <si>
    <t>ESLDILA LX Equity</t>
  </si>
  <si>
    <t>Esl Direct Lending-A</t>
  </si>
  <si>
    <t>LXALAEA LX Equity</t>
  </si>
  <si>
    <t>Lux Sel-Arcan Lw Eur In-Veap</t>
  </si>
  <si>
    <t>DRGLCRA LX Equity</t>
  </si>
  <si>
    <t>Dharmaresearch Sa-Dr Gl Cr-A</t>
  </si>
  <si>
    <t>SLXFCPE LX Equity</t>
  </si>
  <si>
    <t>LQD US Equity</t>
  </si>
  <si>
    <t>Ishares Iboxx Investment Gra</t>
  </si>
  <si>
    <t>Jpm Eur Liq Lvnav-A Acc</t>
  </si>
  <si>
    <t>Jpm Gbp Liq Lvnav-C Acc</t>
  </si>
  <si>
    <t>Jpm Usd Liq Lvnav-A Acc</t>
  </si>
  <si>
    <t>Money Market</t>
  </si>
  <si>
    <t>4GLD GR Equity</t>
  </si>
  <si>
    <t>Commodity</t>
  </si>
  <si>
    <t>Xetra-Gold</t>
  </si>
  <si>
    <t>CRUD LN Equity</t>
  </si>
  <si>
    <t>Etfs Wti Crude Oil</t>
  </si>
  <si>
    <t>PHAU LN Equity</t>
  </si>
  <si>
    <t>Wisdomtree Physical Gold</t>
  </si>
  <si>
    <t>GLD US Equity</t>
  </si>
  <si>
    <t>Spdr Gold Shares</t>
  </si>
  <si>
    <t>MLAQSEI ID Equity</t>
  </si>
  <si>
    <t>Alternative</t>
  </si>
  <si>
    <t>Ml Alphaquest Ucit-Eur Inst</t>
  </si>
  <si>
    <t>Ml Alphaquest Ucit-Chf Inst</t>
  </si>
  <si>
    <t>MECHEAF ID Equity</t>
  </si>
  <si>
    <t>Muzinich Eu Cre Al-Heura Fdr</t>
  </si>
  <si>
    <t>BUCOFDE ID Equity</t>
  </si>
  <si>
    <t>Butler Credit Oppo Fd-B P E</t>
  </si>
  <si>
    <t>AICOIUC LX Equity</t>
  </si>
  <si>
    <t>Aperture Credit Opp-I Eur Hd</t>
  </si>
  <si>
    <t>AQATUI1 LX Equity</t>
  </si>
  <si>
    <t>Aqr Alt Trends F-Iau1Usdacc</t>
  </si>
  <si>
    <t/>
  </si>
  <si>
    <t>Prima Capital Fund-D-Euro</t>
  </si>
  <si>
    <t>Prima Capital Fund-C-Chf</t>
  </si>
  <si>
    <t>Physical</t>
  </si>
  <si>
    <t>Andritz Ag</t>
  </si>
  <si>
    <t>Omv Ag</t>
  </si>
  <si>
    <t>Novartis Ag-Reg</t>
  </si>
  <si>
    <t>Roche Holding Ag-Genusschein</t>
  </si>
  <si>
    <t>Clariant Ag-Reg</t>
  </si>
  <si>
    <t>Holcim Ltd</t>
  </si>
  <si>
    <t>Abb Ltd-Reg</t>
  </si>
  <si>
    <t>Sonova Holding Ag-Reg</t>
  </si>
  <si>
    <t>Logitech International-Reg</t>
  </si>
  <si>
    <t>Nestle Sa-Reg</t>
  </si>
  <si>
    <t>Ubs Group Ag-Reg</t>
  </si>
  <si>
    <t>Vat Group Ag</t>
  </si>
  <si>
    <t>Alcon Inc</t>
  </si>
  <si>
    <t>Aevis Victoria Sa</t>
  </si>
  <si>
    <t>Straumann Holding Ag-Reg</t>
  </si>
  <si>
    <t>Mercedes-Benz Group Ag</t>
  </si>
  <si>
    <t>Volkswagen Ag-Pref</t>
  </si>
  <si>
    <t>Daimler Truck Holding Ag</t>
  </si>
  <si>
    <t>Novo Nordisk A/S-B</t>
  </si>
  <si>
    <t>Abengoa Sa- B Shares</t>
  </si>
  <si>
    <t>Abengoa Sa -Cl A</t>
  </si>
  <si>
    <t>Iberdrola Sa</t>
  </si>
  <si>
    <t>Valmet Oyj</t>
  </si>
  <si>
    <t>Thales Sa</t>
  </si>
  <si>
    <t>Capgemini Se</t>
  </si>
  <si>
    <t>Vinci Sa</t>
  </si>
  <si>
    <t>Eiffage</t>
  </si>
  <si>
    <t>Bnp Paribas</t>
  </si>
  <si>
    <t>Dassault Systemes Se</t>
  </si>
  <si>
    <t>Bt Group Plc</t>
  </si>
  <si>
    <t>Vodafone Group Plc</t>
  </si>
  <si>
    <t>Glanbia Plc</t>
  </si>
  <si>
    <t>Kerry Group Plc-A</t>
  </si>
  <si>
    <t>Enel Spa</t>
  </si>
  <si>
    <t>Lyondellbasell Indu-Cl A</t>
  </si>
  <si>
    <t>Asml Holding Nv</t>
  </si>
  <si>
    <t>Cnh Industrial Nv</t>
  </si>
  <si>
    <t>Koninklijke Ahold Delhaize N</t>
  </si>
  <si>
    <t>Be Semiconductor Industries</t>
  </si>
  <si>
    <t>Hexagon Ab-B Shs</t>
  </si>
  <si>
    <t>Boliden Ab</t>
  </si>
  <si>
    <t>Advanced Micro Devices</t>
  </si>
  <si>
    <t>Agilent Technologies Inc</t>
  </si>
  <si>
    <t>Amphenol Corp-Cl A</t>
  </si>
  <si>
    <t>Applied Materials Inc</t>
  </si>
  <si>
    <t>Bristol-Myers Squibb Co</t>
  </si>
  <si>
    <t>Broadcom Inc</t>
  </si>
  <si>
    <t>Celanese Corp</t>
  </si>
  <si>
    <t>Citigroup Inc</t>
  </si>
  <si>
    <t>Comcast Corp-Class A</t>
  </si>
  <si>
    <t>Deere &amp; Co</t>
  </si>
  <si>
    <t>Digitalocean Holdings Inc</t>
  </si>
  <si>
    <t>Goldman Sachs Group Inc</t>
  </si>
  <si>
    <t>Lam Research Corp</t>
  </si>
  <si>
    <t>Lockheed Martin Corp</t>
  </si>
  <si>
    <t>Merck &amp; Co. Inc.</t>
  </si>
  <si>
    <t>Microsoft Corp</t>
  </si>
  <si>
    <t>Morgan Stanley</t>
  </si>
  <si>
    <t>Northrop Grumman Corp</t>
  </si>
  <si>
    <t>Paccar Inc</t>
  </si>
  <si>
    <t>Pfizer Inc</t>
  </si>
  <si>
    <t>Qualcomm Inc</t>
  </si>
  <si>
    <t>Qualys Inc</t>
  </si>
  <si>
    <t>Salesforce Inc</t>
  </si>
  <si>
    <t>Ugi Corp</t>
  </si>
  <si>
    <t>Edstsa 10 06/22/26</t>
  </si>
  <si>
    <t>Ncpnor 10 1/2 05/03/25</t>
  </si>
  <si>
    <t>Smalvi 11 06/30/23</t>
  </si>
  <si>
    <t>Freejd 11 09/02/22</t>
  </si>
  <si>
    <t>Gmlhvn 15 02/11/26</t>
  </si>
  <si>
    <t>Mthesa 9 06/09/25</t>
  </si>
  <si>
    <t>Grieje 9 12/13/25</t>
  </si>
  <si>
    <t>Rldnrk Float 03/03/24</t>
  </si>
  <si>
    <t>Npvgro Float 05/12/26</t>
  </si>
  <si>
    <t>Tii 1 3/8 07/15/33</t>
  </si>
  <si>
    <t>Appgf 3 1/2 04/30/03</t>
  </si>
  <si>
    <t>Edstsa 10 12/22/25</t>
  </si>
  <si>
    <t>Edstsa 10 02/27/26</t>
  </si>
  <si>
    <t>Name</t>
  </si>
  <si>
    <t>Ccy</t>
  </si>
  <si>
    <t>Sector</t>
  </si>
  <si>
    <t>PRMCAPD VI Equity</t>
  </si>
  <si>
    <t>PRMCAPC VI Equity</t>
  </si>
  <si>
    <t>Abengoa 1.5% Nts -reg-s</t>
  </si>
  <si>
    <t>AssetClass</t>
  </si>
  <si>
    <t>AssetType</t>
  </si>
  <si>
    <t>CC-AUD</t>
  </si>
  <si>
    <t>AUD</t>
  </si>
  <si>
    <t>Cash</t>
  </si>
  <si>
    <t>CC-CAD</t>
  </si>
  <si>
    <t>CAD</t>
  </si>
  <si>
    <t>CC-CHF</t>
  </si>
  <si>
    <t>CC-EUR</t>
  </si>
  <si>
    <t>CC-GBP</t>
  </si>
  <si>
    <t>CC-ISK</t>
  </si>
  <si>
    <t>ISK</t>
  </si>
  <si>
    <t>CC-JPY</t>
  </si>
  <si>
    <t>JPY</t>
  </si>
  <si>
    <t>CC-NZD</t>
  </si>
  <si>
    <t>NZD</t>
  </si>
  <si>
    <t>CC-USD</t>
  </si>
  <si>
    <t>CC-ZAR</t>
  </si>
  <si>
    <t>ZAR</t>
  </si>
  <si>
    <t>CC-DKK</t>
  </si>
  <si>
    <t>fwdCC-JPY</t>
  </si>
  <si>
    <t>fwdCC-USD</t>
  </si>
  <si>
    <t>fwdCC-ZAR</t>
  </si>
  <si>
    <t>deposit-EUR</t>
  </si>
  <si>
    <t>guar-CHF</t>
  </si>
  <si>
    <t>fwdFx-AUD</t>
  </si>
  <si>
    <t>fwdFx-CAD</t>
  </si>
  <si>
    <t>fwdFx-CHF</t>
  </si>
  <si>
    <t>fwdFx-EUR</t>
  </si>
  <si>
    <t>fwdFx-GBP</t>
  </si>
  <si>
    <t>fwdFx-ISK</t>
  </si>
  <si>
    <t>fwdFx-JPY</t>
  </si>
  <si>
    <t>fwdFx-NZD</t>
  </si>
  <si>
    <t>fwdFx-USD</t>
  </si>
  <si>
    <t>fwdFx-ZAR</t>
  </si>
  <si>
    <t>accrued-AUD</t>
  </si>
  <si>
    <t>accrued-CAD</t>
  </si>
  <si>
    <t>accrued-CHF</t>
  </si>
  <si>
    <t>accrued-EUR</t>
  </si>
  <si>
    <t>accrued-GBP</t>
  </si>
  <si>
    <t>accrued-ISK</t>
  </si>
  <si>
    <t>accrued-JPY</t>
  </si>
  <si>
    <t>accrued-NZD</t>
  </si>
  <si>
    <t>accrued-USD</t>
  </si>
  <si>
    <t>accrued-ZAR</t>
  </si>
  <si>
    <t>fwdFx-DKK</t>
  </si>
  <si>
    <t>accrued-DKK</t>
  </si>
  <si>
    <t>CH1430134226</t>
  </si>
  <si>
    <t>AMRZ SW Equity</t>
  </si>
  <si>
    <t>Amrize Ltd</t>
  </si>
  <si>
    <t>IE00BD85PC43</t>
  </si>
  <si>
    <t>LIARBA1 ID Equity</t>
  </si>
  <si>
    <t>Liontrust Gf Global Short Dated Corporate Bond Fund</t>
  </si>
  <si>
    <t>guar-EUR</t>
  </si>
  <si>
    <t>MLAQCI ID Equity</t>
  </si>
  <si>
    <t>AB/P EU Equity</t>
  </si>
  <si>
    <t>MUZSDGI ID Equity</t>
  </si>
  <si>
    <t>MUHEUIH ID</t>
  </si>
  <si>
    <t>MUZGDEA ID Equity</t>
  </si>
  <si>
    <t>MUGHEAH ID Equity</t>
  </si>
  <si>
    <t>ARHACHF LX Equity</t>
  </si>
  <si>
    <t>JCLO GR Equity</t>
  </si>
  <si>
    <t xml:space="preserve">Janus Henderson Tabula Eur Aaa Clo </t>
  </si>
  <si>
    <t>CLOA GR Equity</t>
  </si>
  <si>
    <t>Invesco Eur Aaa Clo</t>
  </si>
  <si>
    <t>LU2941599081</t>
  </si>
  <si>
    <t>IE000Y2JPPS4</t>
  </si>
  <si>
    <t>IBE/D SM Equity</t>
  </si>
  <si>
    <t>Iberdrola Rights</t>
  </si>
  <si>
    <t>ES06445809U3</t>
  </si>
  <si>
    <t>IE00B65YMK29</t>
  </si>
  <si>
    <t>LU1073897255</t>
  </si>
  <si>
    <t>FR0012903250</t>
  </si>
  <si>
    <t>XS1964617879</t>
  </si>
  <si>
    <t>LU2411738870</t>
  </si>
  <si>
    <t>IE00BD08G622</t>
  </si>
  <si>
    <t>FR0003999036</t>
  </si>
  <si>
    <t>XS2072829794</t>
  </si>
  <si>
    <t>VGG7238P1062</t>
  </si>
  <si>
    <t>US4642872000</t>
  </si>
  <si>
    <t>LU0712123511</t>
  </si>
  <si>
    <t>DÃ©pÃ´ts/Emprunts Ã  terme-EUR</t>
  </si>
  <si>
    <t>FWD-USD</t>
  </si>
  <si>
    <t>FR0013479722</t>
  </si>
  <si>
    <t>LU1585265066</t>
  </si>
  <si>
    <t>FWD-GBP</t>
  </si>
  <si>
    <t>FWD-CHF</t>
  </si>
  <si>
    <t>FR001400HOZ2</t>
  </si>
  <si>
    <t>LU0410168768</t>
  </si>
  <si>
    <t>IE0008471009</t>
  </si>
  <si>
    <t>FWD-EUR</t>
  </si>
  <si>
    <t>DE0005200000</t>
  </si>
  <si>
    <t>FR001400IEQ0</t>
  </si>
  <si>
    <t>XD0002818892</t>
  </si>
  <si>
    <t>FR0010149120</t>
  </si>
  <si>
    <t>MUZHEAR ID Equity</t>
  </si>
  <si>
    <t>Muzinich EnhancedYield Short-Term</t>
  </si>
  <si>
    <t>CAPCBEP LX Equity</t>
  </si>
  <si>
    <t>Indosuez Euro Bonds</t>
  </si>
  <si>
    <t>BFBAIPC FP Equity</t>
  </si>
  <si>
    <t>BFT Aureus ISR</t>
  </si>
  <si>
    <t>JPMELAA LX Equity</t>
  </si>
  <si>
    <t>JPMGLLC LX</t>
  </si>
  <si>
    <t>JPMULLA LX Equity</t>
  </si>
  <si>
    <t>Cemex 3.125 2026</t>
  </si>
  <si>
    <t>XS1964617879 Corp</t>
  </si>
  <si>
    <t>XS2072829794 Corp</t>
  </si>
  <si>
    <t>FR0013479722 Corp</t>
  </si>
  <si>
    <t>FR001400HOZ2 Corp</t>
  </si>
  <si>
    <t>Bond</t>
  </si>
  <si>
    <t>IEHNJPX LX Equity</t>
  </si>
  <si>
    <t>Indosuez Global Bond 2026</t>
  </si>
  <si>
    <t>MLAQSUI ID Equity</t>
  </si>
  <si>
    <t>FR001400IEQ0 Corp</t>
  </si>
  <si>
    <t>Netflix 3.625 2030</t>
  </si>
  <si>
    <t>IVV US Equity</t>
  </si>
  <si>
    <t>Ishares Core S&amp;P 500 ucits</t>
  </si>
  <si>
    <t>MSGFIAH LX Equity</t>
  </si>
  <si>
    <t>Fin Imm.Bordelaise 6 2025 - DEFAULT</t>
  </si>
  <si>
    <t>TITSDIR LX Equity</t>
  </si>
  <si>
    <t>Tikehau Short Durtin-raceur</t>
  </si>
  <si>
    <t>La Banque Postale  4 2028</t>
  </si>
  <si>
    <t>MRSGCAH LX Equity</t>
  </si>
  <si>
    <t>Convertibles</t>
  </si>
  <si>
    <t>EUN2 GY Equity</t>
  </si>
  <si>
    <t>iShare Euro Stoxx50 Etf</t>
  </si>
  <si>
    <t>BEI GR Equity</t>
  </si>
  <si>
    <t>Beiersdorf AG</t>
  </si>
  <si>
    <t>RCI Banque</t>
  </si>
  <si>
    <t>CARSECC FP Equity</t>
  </si>
  <si>
    <t>Carmignac Securité</t>
  </si>
  <si>
    <t>Ml Alphaquest Ucit-Usd Inst</t>
  </si>
  <si>
    <t>Prima Capital Fund-A-USD</t>
  </si>
  <si>
    <t>PRMCAPI VI Equity</t>
  </si>
  <si>
    <t>Gold Napoleon</t>
  </si>
  <si>
    <t>Gold Mapple Leaf</t>
  </si>
  <si>
    <t>Dépôts/Emprunts à terme-EUR</t>
  </si>
  <si>
    <t>fxFwd-AUD</t>
  </si>
  <si>
    <t>fxFwd-CAD</t>
  </si>
  <si>
    <t>fxFwd-CHF</t>
  </si>
  <si>
    <t>fxFwd-DKK</t>
  </si>
  <si>
    <t>fxFwd-EUR</t>
  </si>
  <si>
    <t>fxFwd-GBP</t>
  </si>
  <si>
    <t>fxFwd-ISK</t>
  </si>
  <si>
    <t>fxFwd-JPY</t>
  </si>
  <si>
    <t>fxFwd-NZD</t>
  </si>
  <si>
    <t>fxFwd-USD</t>
  </si>
  <si>
    <t>fxFwd-ZAR</t>
  </si>
  <si>
    <t>75-CHF</t>
  </si>
  <si>
    <t>IV-EUR</t>
  </si>
  <si>
    <t>75-DKK</t>
  </si>
  <si>
    <t>75-USD</t>
  </si>
  <si>
    <t>75-GBP</t>
  </si>
  <si>
    <t>IV-USD</t>
  </si>
  <si>
    <t>75-EUR</t>
  </si>
  <si>
    <t>IV-CHF</t>
  </si>
  <si>
    <t>-EUR</t>
  </si>
  <si>
    <t>Gold_Bar_1kg</t>
  </si>
  <si>
    <t>Gold_Napo</t>
  </si>
  <si>
    <t>Segetia</t>
  </si>
  <si>
    <t>LL-D</t>
  </si>
  <si>
    <t>LL-F</t>
  </si>
  <si>
    <t>LL-G</t>
  </si>
  <si>
    <t>Gold_Mapple</t>
  </si>
  <si>
    <t>RoseGrove</t>
  </si>
  <si>
    <t>Maranatha</t>
  </si>
  <si>
    <t>AlphaquestCay</t>
  </si>
  <si>
    <t>Qbery0421</t>
  </si>
  <si>
    <t>OneRiver</t>
  </si>
  <si>
    <t>Abengoa_nts</t>
  </si>
  <si>
    <t>Abengoa_nts_regs</t>
  </si>
  <si>
    <t>fwdCC-AUD</t>
  </si>
  <si>
    <t>fwdCC-CAD</t>
  </si>
  <si>
    <t>fwdCC-CHF</t>
  </si>
  <si>
    <t>fwdCC-DKK</t>
  </si>
  <si>
    <t>fwdCC-EUR</t>
  </si>
  <si>
    <t>fwdCC-GBP</t>
  </si>
  <si>
    <t>fwdCC-ISK</t>
  </si>
  <si>
    <t>fwdCC-NZD</t>
  </si>
  <si>
    <t>Fiduciary Call USD, 3.600%, 15.10.25 (417407474) EDMOND DE ROTHSCHILD (EUROPE) -</t>
  </si>
  <si>
    <t>call-USD</t>
  </si>
  <si>
    <t>Deposit</t>
  </si>
  <si>
    <t>IBCI GR Equity</t>
  </si>
  <si>
    <t>Private Loans</t>
  </si>
  <si>
    <t>MSIF - Global Convertible</t>
  </si>
  <si>
    <t>MSIF - Global Fixed Incope Opp.</t>
  </si>
  <si>
    <t>LU1693257310-sub</t>
  </si>
  <si>
    <t>Esl Direct Lending-A - sub</t>
  </si>
  <si>
    <t>ESLDILA LX Equity - sub</t>
  </si>
  <si>
    <t>Current Account</t>
  </si>
  <si>
    <t>Accrued Interest</t>
  </si>
  <si>
    <t>Fx Forward</t>
  </si>
  <si>
    <t>Guarantee</t>
  </si>
  <si>
    <t>Oil</t>
  </si>
  <si>
    <t>Gold</t>
  </si>
  <si>
    <t>Japan Topix  Erf</t>
  </si>
  <si>
    <t>US Growth Large Cap</t>
  </si>
  <si>
    <t>US+EU Large Cap</t>
  </si>
  <si>
    <t>European Union</t>
  </si>
  <si>
    <t>US Health Care Etf</t>
  </si>
  <si>
    <t>UK Large Cap</t>
  </si>
  <si>
    <t>US S&amp;P500 Etf</t>
  </si>
  <si>
    <t>MSCI ex China Etf</t>
  </si>
  <si>
    <t>MSCI Japan hedge Etf</t>
  </si>
  <si>
    <t>European Union Dividend Etf</t>
  </si>
  <si>
    <t>UK Small Cap</t>
  </si>
  <si>
    <t>Europe Stoxx600 Etf</t>
  </si>
  <si>
    <t>Europe Micro Cap</t>
  </si>
  <si>
    <t>US Dividend Etf</t>
  </si>
  <si>
    <t>US ILS</t>
  </si>
  <si>
    <t>Defaulted</t>
  </si>
  <si>
    <t>Asset Backed</t>
  </si>
  <si>
    <t>Conv</t>
  </si>
  <si>
    <t>IG Emeerging</t>
  </si>
  <si>
    <t>IG Targeted 2026</t>
  </si>
  <si>
    <t>IG Europe</t>
  </si>
  <si>
    <t>IG EUS</t>
  </si>
  <si>
    <t>IG ST Eurozone</t>
  </si>
  <si>
    <t>High Yield Europe</t>
  </si>
  <si>
    <t>LT Aggregate</t>
  </si>
  <si>
    <t>IG CLO Europe ex UK</t>
  </si>
  <si>
    <t>Global Government Bonds</t>
  </si>
  <si>
    <t>Global Inflation Linked</t>
  </si>
  <si>
    <t>G7 Government Bonds</t>
  </si>
  <si>
    <t>IG Corporate Bonds</t>
  </si>
  <si>
    <t>EM hedged Eur</t>
  </si>
  <si>
    <t xml:space="preserve">HY </t>
  </si>
  <si>
    <t>Aaa CLO</t>
  </si>
  <si>
    <t>Global Credit hedge</t>
  </si>
  <si>
    <t>HY Europe</t>
  </si>
  <si>
    <t>Mixed Credit Funds</t>
  </si>
  <si>
    <t>Aggregate Bonds</t>
  </si>
  <si>
    <t>HY US</t>
  </si>
  <si>
    <t>ST Corporate Bonds</t>
  </si>
  <si>
    <t>ST European Bonds</t>
  </si>
  <si>
    <t>HY ST</t>
  </si>
  <si>
    <t>Axiom Financial Crd-Ia Eur</t>
  </si>
  <si>
    <t>Financial Credit</t>
  </si>
  <si>
    <t>IG tailed hedged</t>
  </si>
  <si>
    <t>IG short Duration Europe</t>
  </si>
  <si>
    <t>CTA Vol Arb.</t>
  </si>
  <si>
    <t>Equiity L/S</t>
  </si>
  <si>
    <t>in Liquidation</t>
  </si>
  <si>
    <t>Real Estate</t>
  </si>
  <si>
    <t>CTA tren!vol arb</t>
  </si>
  <si>
    <t>CTA Trend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</si>
</sst>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quotePrefix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BQL|10012353025856751868</stp>
        <tr r="D37" s="1"/>
      </tp>
      <tp t="b">
        <v>0</v>
        <stp/>
        <stp>BQL|17107874456993975625</stp>
        <tr r="B81" s="1"/>
      </tp>
      <tp t="b">
        <v>0</v>
        <stp/>
        <stp>BQL|12520661718319953399</stp>
        <tr r="B12" s="1"/>
      </tp>
      <tp t="b">
        <v>0</v>
        <stp/>
        <stp>BQL|11501932867715630568</stp>
        <tr r="B48" s="1"/>
      </tp>
      <tp t="b">
        <v>0</v>
        <stp/>
        <stp>BQL|17367731895325100252</stp>
        <tr r="D96" s="1"/>
      </tp>
      <tp t="b">
        <v>0</v>
        <stp/>
        <stp>BQL|18005328167882066173</stp>
        <tr r="B28" s="1"/>
      </tp>
      <tp t="b">
        <v>0</v>
        <stp/>
        <stp>BQL|17833953967754647206</stp>
        <tr r="D22" s="1"/>
      </tp>
      <tp t="b">
        <v>0</v>
        <stp/>
        <stp>BQL|14836041245749311749</stp>
        <tr r="B102" s="1"/>
      </tp>
      <tp t="b">
        <v>0</v>
        <stp/>
        <stp>BQL|16662810616857053680</stp>
        <tr r="B73" s="1"/>
      </tp>
      <tp t="b">
        <v>0</v>
        <stp/>
        <stp>BQL|16065620860800923821</stp>
        <tr r="D48" s="1"/>
      </tp>
      <tp t="b">
        <v>0</v>
        <stp/>
        <stp>BQL|12822078285345147139</stp>
        <tr r="D68" s="1"/>
      </tp>
      <tp t="b">
        <v>0</v>
        <stp/>
        <stp>BQL|13357992939933186496</stp>
        <tr r="D117" s="1"/>
      </tp>
      <tp t="b">
        <v>0</v>
        <stp/>
        <stp>BQL|17221248893288364931</stp>
        <tr r="B39" s="1"/>
      </tp>
      <tp t="b">
        <v>0</v>
        <stp/>
        <stp>BQL|18159419711408195861</stp>
        <tr r="B69" s="1"/>
      </tp>
      <tp t="b">
        <v>0</v>
        <stp/>
        <stp>BQL|14270347000542519808</stp>
        <tr r="B44" s="1"/>
      </tp>
      <tp t="b">
        <v>0</v>
        <stp/>
        <stp>BQL|18313849851148363069</stp>
        <tr r="B109" s="1"/>
      </tp>
      <tp t="b">
        <v>0</v>
        <stp/>
        <stp>BQL|10903239868791715886</stp>
        <tr r="D5" s="1"/>
      </tp>
      <tp t="b">
        <v>0</v>
        <stp/>
        <stp>BQL|13521950509955335263</stp>
        <tr r="D38" s="1"/>
      </tp>
      <tp t="b">
        <v>0</v>
        <stp/>
        <stp>BQL|13255316597612435682</stp>
        <tr r="B40" s="1"/>
      </tp>
      <tp t="b">
        <v>0</v>
        <stp/>
        <stp>BQL|16304011371014559937</stp>
        <tr r="D34" s="1"/>
      </tp>
      <tp t="b">
        <v>0</v>
        <stp/>
        <stp>BQL|13032802149985420691</stp>
        <tr r="D74" s="1"/>
      </tp>
      <tp t="b">
        <v>0</v>
        <stp/>
        <stp>BQL|17526747990593182666</stp>
        <tr r="D4" s="1"/>
      </tp>
      <tp t="b">
        <v>0</v>
        <stp/>
        <stp>BQL|15068136145414664811</stp>
        <tr r="B18" s="1"/>
      </tp>
      <tp t="b">
        <v>0</v>
        <stp/>
        <stp>BQL|15797946636665594614</stp>
        <tr r="B29" s="1"/>
      </tp>
      <tp t="b">
        <v>0</v>
        <stp/>
        <stp>BQL|17013409871451846990</stp>
        <tr r="B120" s="1"/>
      </tp>
      <tp t="b">
        <v>0</v>
        <stp/>
        <stp>BQL|16193865143310432604</stp>
        <tr r="D77" s="1"/>
      </tp>
      <tp t="b">
        <v>0</v>
        <stp/>
        <stp>BQL|16367956651907424112</stp>
        <tr r="D103" s="1"/>
      </tp>
      <tp t="b">
        <v>0</v>
        <stp/>
        <stp>BQL|15344792815349155631</stp>
        <tr r="D84" s="1"/>
      </tp>
      <tp t="b">
        <v>0</v>
        <stp/>
        <stp>BQL|11670030227816945908</stp>
        <tr r="B117" s="1"/>
      </tp>
      <tp t="b">
        <v>0</v>
        <stp/>
        <stp>BQL|18174983150560000821</stp>
        <tr r="B133" s="1"/>
      </tp>
      <tp t="b">
        <v>0</v>
        <stp/>
        <stp>BQL|11440817737201747002</stp>
        <tr r="D141" s="1"/>
      </tp>
      <tp t="b">
        <v>0</v>
        <stp/>
        <stp>BQL|10936762639238908786</stp>
        <tr r="B142" s="1"/>
      </tp>
      <tp t="b">
        <v>0</v>
        <stp/>
        <stp>BQL|14848683996347013773</stp>
        <tr r="D82" s="1"/>
      </tp>
      <tp t="b">
        <v>0</v>
        <stp/>
        <stp>BQL|17534075023137495985</stp>
        <tr r="B52" s="1"/>
      </tp>
      <tp t="b">
        <v>0</v>
        <stp/>
        <stp>BQL|17668846018644587105</stp>
        <tr r="B141" s="1"/>
      </tp>
      <tp t="b">
        <v>0</v>
        <stp/>
        <stp>BQL|12300733248609010367</stp>
        <tr r="D72" s="1"/>
      </tp>
      <tp t="b">
        <v>0</v>
        <stp/>
        <stp>BQL|14500016008347495816</stp>
        <tr r="D26" s="1"/>
      </tp>
      <tp t="b">
        <v>0</v>
        <stp/>
        <stp>BQL|14153188188160857616</stp>
        <tr r="B111" s="1"/>
      </tp>
      <tp t="b">
        <v>0</v>
        <stp/>
        <stp>BQL|14125389513428284504</stp>
        <tr r="D15" s="1"/>
      </tp>
      <tp t="b">
        <v>0</v>
        <stp/>
        <stp>BQL|17712612109263062954</stp>
        <tr r="B115" s="1"/>
      </tp>
      <tp t="b">
        <v>0</v>
        <stp/>
        <stp>BQL|11652807865872249715</stp>
        <tr r="B65" s="1"/>
      </tp>
      <tp t="b">
        <v>0</v>
        <stp/>
        <stp>BQL|17941040403065728896</stp>
        <tr r="D18" s="1"/>
      </tp>
      <tp t="b">
        <v>0</v>
        <stp/>
        <stp>BQL|13546947048261062545</stp>
        <tr r="D130" s="1"/>
      </tp>
      <tp t="b">
        <v>0</v>
        <stp/>
        <stp>BQL|18029697625886834099</stp>
        <tr r="B103" s="1"/>
      </tp>
      <tp t="b">
        <v>0</v>
        <stp/>
        <stp>BQL|11598781097096646333</stp>
        <tr r="D128" s="1"/>
      </tp>
      <tp t="b">
        <v>0</v>
        <stp/>
        <stp>BQL|16233976620794530394</stp>
        <tr r="D19" s="1"/>
      </tp>
      <tp t="b">
        <v>0</v>
        <stp/>
        <stp>BQL|15758624097451537227</stp>
        <tr r="D40" s="1"/>
      </tp>
      <tp t="b">
        <v>0</v>
        <stp/>
        <stp>BQL|16977705127462825801</stp>
        <tr r="B25" s="1"/>
      </tp>
      <tp t="b">
        <v>0</v>
        <stp/>
        <stp>BQL|16806592193951466279</stp>
        <tr r="D133" s="1"/>
      </tp>
      <tp t="b">
        <v>0</v>
        <stp/>
        <stp>BQL|16217197788694601259</stp>
        <tr r="D39" s="1"/>
      </tp>
      <tp t="b">
        <v>0</v>
        <stp/>
        <stp>BQL|16054936955225099691</stp>
        <tr r="B38" s="1"/>
      </tp>
      <tp t="b">
        <v>0</v>
        <stp/>
        <stp>BQL|14084001123366229989</stp>
        <tr r="D83" s="1"/>
      </tp>
      <tp t="b">
        <v>0</v>
        <stp/>
        <stp>BQL|16027996405811167757</stp>
        <tr r="B123" s="1"/>
      </tp>
      <tp t="b">
        <v>0</v>
        <stp/>
        <stp>BQL|13628626982733339617</stp>
        <tr r="B77" s="1"/>
      </tp>
      <tp t="b">
        <v>0</v>
        <stp/>
        <stp>BQL|13128385099277042660</stp>
        <tr r="B10" s="1"/>
      </tp>
      <tp t="b">
        <v>0</v>
        <stp/>
        <stp>BQL|15649972860955445783</stp>
        <tr r="D85" s="1"/>
      </tp>
      <tp t="b">
        <v>0</v>
        <stp/>
        <stp>BQL|13572195175628178561</stp>
        <tr r="D143" s="1"/>
      </tp>
      <tp t="b">
        <v>0</v>
        <stp/>
        <stp>BQL|12920078706121556491</stp>
        <tr r="B84" s="1"/>
      </tp>
      <tp t="b">
        <v>0</v>
        <stp/>
        <stp>BQL|10033626562166079178</stp>
        <tr r="B107" s="1"/>
      </tp>
      <tp t="b">
        <v>0</v>
        <stp/>
        <stp>BQL|18371426907273012875</stp>
        <tr r="B72" s="1"/>
      </tp>
      <tp t="b">
        <v>0</v>
        <stp/>
        <stp>BQL|15103742117012259603</stp>
        <tr r="D29" s="1"/>
      </tp>
      <tp t="b">
        <v>0</v>
        <stp/>
        <stp>BQL|15738700259293307285</stp>
        <tr r="D106" s="1"/>
      </tp>
      <tp t="b">
        <v>0</v>
        <stp/>
        <stp>BQL|12742358033036745254</stp>
        <tr r="D76" s="1"/>
      </tp>
      <tp t="b">
        <v>0</v>
        <stp/>
        <stp>BQL|15710963276989212470</stp>
        <tr r="D51" s="1"/>
      </tp>
      <tp t="b">
        <v>0</v>
        <stp/>
        <stp>BQL|15225266179900847671</stp>
        <tr r="B104" s="1"/>
      </tp>
      <tp t="b">
        <v>0</v>
        <stp/>
        <stp>BQL|11598520232979144880</stp>
        <tr r="D131" s="1"/>
      </tp>
      <tp t="b">
        <v>0</v>
        <stp/>
        <stp>BQL|11252548494833791898</stp>
        <tr r="B82" s="1"/>
      </tp>
      <tp t="b">
        <v>0</v>
        <stp/>
        <stp>BQL|15483917921511309998</stp>
        <tr r="D144" s="1"/>
      </tp>
      <tp t="b">
        <v>0</v>
        <stp/>
        <stp>BQL|10925126560317472665</stp>
        <tr r="D21" s="1"/>
      </tp>
      <tp t="b">
        <v>0</v>
        <stp/>
        <stp>BQL|10857169305416365123</stp>
        <tr r="B41" s="1"/>
      </tp>
      <tp t="b">
        <v>0</v>
        <stp/>
        <stp>BQL|11975681629421813162</stp>
        <tr r="D43" s="1"/>
      </tp>
      <tp t="b">
        <v>0</v>
        <stp/>
        <stp>BQL|12051448150367777122</stp>
        <tr r="D8" s="1"/>
      </tp>
      <tp t="b">
        <v>0</v>
        <stp/>
        <stp>BQL|12296529795438221368</stp>
        <tr r="B34" s="1"/>
      </tp>
      <tp t="b">
        <v>0</v>
        <stp/>
        <stp>BQL|11428633310046040544</stp>
        <tr r="B63" s="1"/>
      </tp>
      <tp t="b">
        <v>0</v>
        <stp/>
        <stp>BQL|14205353999829627274</stp>
        <tr r="B59" s="1"/>
      </tp>
      <tp t="b">
        <v>0</v>
        <stp/>
        <stp>BQL|15752091762105115347</stp>
        <tr r="B138" s="1"/>
      </tp>
      <tp t="b">
        <v>0</v>
        <stp/>
        <stp>BQL|16747358113030829121</stp>
        <tr r="D137" s="1"/>
      </tp>
      <tp t="b">
        <v>0</v>
        <stp/>
        <stp>BQL|12235591928745966515</stp>
        <tr r="D2" s="1"/>
      </tp>
      <tp t="b">
        <v>0</v>
        <stp/>
        <stp>BQL|16143542373229539894</stp>
        <tr r="B130" s="1"/>
      </tp>
      <tp t="b">
        <v>0</v>
        <stp/>
        <stp>BQL|17752955310213480828</stp>
        <tr r="D118" s="1"/>
      </tp>
      <tp t="b">
        <v>0</v>
        <stp/>
        <stp>BQL|10859790452850641633</stp>
        <tr r="B60" s="1"/>
      </tp>
      <tp t="b">
        <v>0</v>
        <stp/>
        <stp>BQL|16411842584593183142</stp>
        <tr r="D16" s="1"/>
      </tp>
      <tp t="b">
        <v>0</v>
        <stp/>
        <stp>BQL|17938847895796857410</stp>
        <tr r="B43" s="1"/>
      </tp>
      <tp t="b">
        <v>0</v>
        <stp/>
        <stp>BQL|12102565610456022475</stp>
        <tr r="D132" s="1"/>
      </tp>
      <tp t="b">
        <v>0</v>
        <stp/>
        <stp>BQL|15499386109242140073</stp>
        <tr r="D36" s="1"/>
      </tp>
      <tp t="b">
        <v>0</v>
        <stp/>
        <stp>BQL|16279774546148981999</stp>
        <tr r="D3" s="1"/>
      </tp>
      <tp t="b">
        <v>0</v>
        <stp/>
        <stp>BQL|13402789305325998532</stp>
        <tr r="B36" s="1"/>
      </tp>
      <tp t="b">
        <v>0</v>
        <stp/>
        <stp>BQL|13072427378440969410</stp>
        <tr r="B55" s="1"/>
      </tp>
      <tp t="b">
        <v>0</v>
        <stp/>
        <stp>BQL|16650512648595169614</stp>
        <tr r="D30" s="1"/>
      </tp>
      <tp t="b">
        <v>0</v>
        <stp/>
        <stp>BQL|15022368848966771023</stp>
        <tr r="B7" s="1"/>
      </tp>
      <tp t="b">
        <v>0</v>
        <stp/>
        <stp>BQL|13933340391124311958</stp>
        <tr r="D27" s="1"/>
      </tp>
      <tp t="b">
        <v>0</v>
        <stp/>
        <stp>BQL|10058955699576123273</stp>
        <tr r="D116" s="1"/>
      </tp>
      <tp t="b">
        <v>0</v>
        <stp/>
        <stp>BQL|14852996290311644635</stp>
        <tr r="B122" s="1"/>
      </tp>
      <tp t="b">
        <v>0</v>
        <stp/>
        <stp>BQL|12296177591159139021</stp>
        <tr r="D92" s="1"/>
      </tp>
      <tp t="b">
        <v>0</v>
        <stp/>
        <stp>BQL|13834562925920479710</stp>
        <tr r="D146" s="1"/>
      </tp>
      <tp t="b">
        <v>0</v>
        <stp/>
        <stp>BQL|10448897415749661378</stp>
        <tr r="B5" s="1"/>
      </tp>
      <tp t="b">
        <v>0</v>
        <stp/>
        <stp>BQL|13922282891482023980</stp>
        <tr r="D120" s="1"/>
      </tp>
      <tp t="b">
        <v>0</v>
        <stp/>
        <stp>BQL|11928254951093733610</stp>
        <tr r="B57" s="1"/>
      </tp>
      <tp t="b">
        <v>0</v>
        <stp/>
        <stp>BQL|12637318096262241863</stp>
        <tr r="B22" s="1"/>
      </tp>
      <tp t="b">
        <v>0</v>
        <stp/>
        <stp>BQL|14240608433030040348</stp>
        <tr r="D44" s="1"/>
      </tp>
      <tp t="b">
        <v>0</v>
        <stp/>
        <stp>BQL|16589558232895338756</stp>
        <tr r="B64" s="1"/>
      </tp>
      <tp t="b">
        <v>0</v>
        <stp/>
        <stp>BQL|16748243723374014064</stp>
        <tr r="D80" s="1"/>
      </tp>
      <tp t="b">
        <v>0</v>
        <stp/>
        <stp>BQL|15103483704090864372</stp>
        <tr r="B13" s="1"/>
      </tp>
      <tp t="b">
        <v>0</v>
        <stp/>
        <stp>BQL|17413110351867598636</stp>
        <tr r="D60" s="1"/>
      </tp>
      <tp t="b">
        <v>0</v>
        <stp/>
        <stp>BQL|16916738550013570520</stp>
        <tr r="D52" s="1"/>
      </tp>
      <tp t="b">
        <v>0</v>
        <stp/>
        <stp>BQL|15674926300596128884</stp>
        <tr r="D50" s="1"/>
      </tp>
      <tp t="b">
        <v>0</v>
        <stp/>
        <stp>BQL|13229045827210764390</stp>
        <tr r="D55" s="1"/>
      </tp>
      <tp t="b">
        <v>0</v>
        <stp/>
        <stp>BQL|11257280979402274480</stp>
        <tr r="D123" s="1"/>
      </tp>
      <tp t="b">
        <v>0</v>
        <stp/>
        <stp>BQL|17486497104570074125</stp>
        <tr r="D124" s="1"/>
      </tp>
      <tp t="b">
        <v>0</v>
        <stp/>
        <stp>BQL|16332571314163537009</stp>
        <tr r="B16" s="1"/>
      </tp>
      <tp t="b">
        <v>0</v>
        <stp/>
        <stp>BQL|13504561822983690620</stp>
        <tr r="B23" s="1"/>
      </tp>
      <tp t="b">
        <v>0</v>
        <stp/>
        <stp>BQL|17325206091554707900</stp>
        <tr r="B71" s="1"/>
      </tp>
      <tp t="b">
        <v>0</v>
        <stp/>
        <stp>BQL|16248762107719308944</stp>
        <tr r="D75" s="1"/>
      </tp>
      <tp t="b">
        <v>0</v>
        <stp/>
        <stp>BQL|13923148330106805621</stp>
        <tr r="D12" s="1"/>
      </tp>
      <tp t="b">
        <v>0</v>
        <stp/>
        <stp>BQL|14847527261260141688</stp>
        <tr r="D139" s="1"/>
      </tp>
      <tp t="b">
        <v>0</v>
        <stp/>
        <stp>BQL|10026052985499832047</stp>
        <tr r="B42" s="1"/>
      </tp>
      <tp t="b">
        <v>0</v>
        <stp/>
        <stp>BQL|15615739012832225096</stp>
        <tr r="D109" s="1"/>
      </tp>
      <tp t="b">
        <v>0</v>
        <stp/>
        <stp>BQL|17087140703906686041</stp>
        <tr r="B116" s="1"/>
      </tp>
      <tp t="b">
        <v>0</v>
        <stp/>
        <stp>BQL|16802192664950088117</stp>
        <tr r="B132" s="1"/>
      </tp>
      <tp t="b">
        <v>0</v>
        <stp/>
        <stp>BQL|12020112781323715814</stp>
        <tr r="B136" s="1"/>
      </tp>
      <tp t="b">
        <v>0</v>
        <stp/>
        <stp>BQL|11196639046606645504</stp>
        <tr r="D122" s="1"/>
      </tp>
      <tp t="b">
        <v>0</v>
        <stp/>
        <stp>BQL|11267577997435811867</stp>
        <tr r="D41" s="1"/>
      </tp>
      <tp t="b">
        <v>0</v>
        <stp/>
        <stp>BDP|12517696973551717842</stp>
        <tr r="G124" s="1"/>
      </tp>
      <tp t="b">
        <v>0</v>
        <stp/>
        <stp>BDP|15822596574848645534</stp>
        <tr r="E60" s="1"/>
      </tp>
      <tp t="b">
        <v>0</v>
        <stp/>
        <stp>BDP|11230022181827191403</stp>
        <tr r="F39" s="1"/>
      </tp>
      <tp t="b">
        <v>0</v>
        <stp/>
        <stp>BDP|14761330438297602994</stp>
        <tr r="I74" s="1"/>
      </tp>
      <tp t="b">
        <v>0</v>
        <stp/>
        <stp>BDP|16261603957657369832</stp>
        <tr r="E120" s="1"/>
      </tp>
      <tp t="b">
        <v>0</v>
        <stp/>
        <stp>BDP|15152815764581535042</stp>
        <tr r="C146" s="1"/>
      </tp>
      <tp t="b">
        <v>0</v>
        <stp/>
        <stp>BDP|13452371478969801478</stp>
        <tr r="G11" s="1"/>
      </tp>
      <tp t="b">
        <v>0</v>
        <stp/>
        <stp>BDP|13037812610716150663</stp>
        <tr r="G39" s="1"/>
      </tp>
    </main>
    <main first="bofaddin.rtdserver">
      <tp t="b">
        <v>0</v>
        <stp/>
        <stp>BDP|15477821351751854269</stp>
        <tr r="C19" s="1"/>
      </tp>
      <tp t="b">
        <v>0</v>
        <stp/>
        <stp>BDP|12705493035856386801</stp>
        <tr r="E14" s="1"/>
      </tp>
      <tp t="b">
        <v>0</v>
        <stp/>
        <stp>BDP|14523394685535147102</stp>
        <tr r="C79" s="1"/>
      </tp>
      <tp t="b">
        <v>0</v>
        <stp/>
        <stp>BDP|14997276317304506871</stp>
        <tr r="E113" s="1"/>
      </tp>
      <tp t="b">
        <v>0</v>
        <stp/>
        <stp>BDP|10154777568922775834</stp>
        <tr r="C80" s="1"/>
      </tp>
      <tp t="b">
        <v>0</v>
        <stp/>
        <stp>BDP|11937515099644317283</stp>
        <tr r="H56" s="1"/>
      </tp>
      <tp t="b">
        <v>0</v>
        <stp/>
        <stp>BDP|12228427759430402870</stp>
        <tr r="C98" s="1"/>
      </tp>
      <tp t="b">
        <v>0</v>
        <stp/>
        <stp>BDP|16195160167038468286</stp>
        <tr r="C101" s="1"/>
      </tp>
      <tp t="b">
        <v>0</v>
        <stp/>
        <stp>BDP|10860847943643192429</stp>
        <tr r="E126" s="1"/>
      </tp>
      <tp t="b">
        <v>0</v>
        <stp/>
        <stp>BDP|11727920629315487463</stp>
        <tr r="I33" s="1"/>
      </tp>
      <tp t="b">
        <v>0</v>
        <stp/>
        <stp>BDP|12431458392601593550</stp>
        <tr r="F57" s="1"/>
        <tr r="F58" s="1"/>
      </tp>
      <tp t="b">
        <v>0</v>
        <stp/>
        <stp>BDP|16608947996714402920</stp>
        <tr r="E29" s="1"/>
      </tp>
      <tp t="b">
        <v>0</v>
        <stp/>
        <stp>BDP|13618195206179773098</stp>
        <tr r="E84" s="1"/>
      </tp>
      <tp t="b">
        <v>0</v>
        <stp/>
        <stp>BDP|10788376680977507725</stp>
        <tr r="C28" s="1"/>
      </tp>
      <tp t="b">
        <v>0</v>
        <stp/>
        <stp>BDP|12213597398644554101</stp>
        <tr r="C7" s="1"/>
      </tp>
      <tp t="b">
        <v>0</v>
        <stp/>
        <stp>BDP|13234386714980072975</stp>
        <tr r="I67" s="1"/>
        <tr r="I65" s="1"/>
      </tp>
      <tp t="b">
        <v>0</v>
        <stp/>
        <stp>BDP|14854891545589826956</stp>
        <tr r="G89" s="1"/>
      </tp>
      <tp t="b">
        <v>0</v>
        <stp/>
        <stp>BDP|10130591610374761863</stp>
        <tr r="G72" s="1"/>
      </tp>
      <tp t="b">
        <v>0</v>
        <stp/>
        <stp>BDP|15844401897903540368</stp>
        <tr r="E69" s="1"/>
      </tp>
      <tp t="b">
        <v>0</v>
        <stp/>
        <stp>BDP|11282216638809376175</stp>
        <tr r="H110" s="1"/>
      </tp>
      <tp t="b">
        <v>0</v>
        <stp/>
        <stp>BDP|16915438949177216907</stp>
        <tr r="I77" s="1"/>
      </tp>
      <tp t="b">
        <v>0</v>
        <stp/>
        <stp>BDP|16600877076185332458</stp>
        <tr r="F11" s="1"/>
      </tp>
      <tp t="b">
        <v>0</v>
        <stp/>
        <stp>BDP|14787475567717476906</stp>
        <tr r="C44" s="1"/>
      </tp>
      <tp t="b">
        <v>0</v>
        <stp/>
        <stp>BDP|12681036357359454651</stp>
        <tr r="H52" s="1"/>
        <tr r="H49" s="1"/>
        <tr r="H50" s="1"/>
      </tp>
      <tp t="b">
        <v>0</v>
        <stp/>
        <stp>BDP|14236719531951912999</stp>
        <tr r="F103" s="1"/>
      </tp>
      <tp t="b">
        <v>0</v>
        <stp/>
        <stp>BDP|10266665768438840069</stp>
        <tr r="G128" s="1"/>
      </tp>
      <tp t="b">
        <v>0</v>
        <stp/>
        <stp>BDP|17777868128062921750</stp>
        <tr r="E106" s="1"/>
      </tp>
      <tp t="b">
        <v>0</v>
        <stp/>
        <stp>BDP|13380256981225641452</stp>
        <tr r="G21" s="1"/>
      </tp>
      <tp t="b">
        <v>0</v>
        <stp/>
        <stp>BDP|12120562019268218681</stp>
        <tr r="G6" s="1"/>
      </tp>
      <tp t="b">
        <v>0</v>
        <stp/>
        <stp>BDP|11034229697895403763</stp>
        <tr r="G46" s="1"/>
      </tp>
      <tp t="b">
        <v>0</v>
        <stp/>
        <stp>BDP|15133319940148042266</stp>
        <tr r="F21" s="1"/>
      </tp>
      <tp t="b">
        <v>0</v>
        <stp/>
        <stp>BDP|13414560647812738844</stp>
        <tr r="C144" s="1"/>
      </tp>
      <tp t="b">
        <v>0</v>
        <stp/>
        <stp>BDP|14266387804496065986</stp>
        <tr r="C10" s="1"/>
      </tp>
      <tp t="b">
        <v>0</v>
        <stp/>
        <stp>BDP|17486630099082273347</stp>
        <tr r="G10" s="1"/>
      </tp>
      <tp t="b">
        <v>0</v>
        <stp/>
        <stp>BDP|14554220590392970447</stp>
        <tr r="F42" s="1"/>
      </tp>
      <tp t="b">
        <v>0</v>
        <stp/>
        <stp>BDP|14883261801766402959</stp>
        <tr r="C74" s="1"/>
      </tp>
      <tp t="b">
        <v>0</v>
        <stp/>
        <stp>BDP|18312249443487582014</stp>
        <tr r="C111" s="1"/>
      </tp>
      <tp t="b">
        <v>0</v>
        <stp/>
        <stp>BDP|13280271308650691881</stp>
        <tr r="F77" s="1"/>
      </tp>
      <tp t="b">
        <v>0</v>
        <stp/>
        <stp>BDP|15192915130744145244</stp>
        <tr r="G63" s="1"/>
      </tp>
      <tp t="b">
        <v>0</v>
        <stp/>
        <stp>BDP|10145711751413437801</stp>
        <tr r="C33" s="1"/>
      </tp>
      <tp t="b">
        <v>0</v>
        <stp/>
        <stp>BDP|16769494495254954672</stp>
        <tr r="E114" s="1"/>
      </tp>
      <tp t="b">
        <v>0</v>
        <stp/>
        <stp>BDP|13761163536580509874</stp>
        <tr r="G19" s="1"/>
      </tp>
      <tp t="b">
        <v>0</v>
        <stp/>
        <stp>BDP|13634741923889061676</stp>
        <tr r="F52" s="1"/>
        <tr r="F49" s="1"/>
        <tr r="F50" s="1"/>
      </tp>
      <tp t="b">
        <v>0</v>
        <stp/>
        <stp>BDP|10133333614729616598</stp>
        <tr r="G99" s="1"/>
      </tp>
      <tp t="b">
        <v>0</v>
        <stp/>
        <stp>BDP|15874251317240316809</stp>
        <tr r="C140" s="1"/>
      </tp>
      <tp t="b">
        <v>0</v>
        <stp/>
        <stp>BDP|17679843070940754692</stp>
        <tr r="C21" s="1"/>
      </tp>
      <tp t="b">
        <v>0</v>
        <stp/>
        <stp>BDP|16950187265999390694</stp>
        <tr r="F71" s="1"/>
      </tp>
      <tp t="b">
        <v>0</v>
        <stp/>
        <stp>BDP|12626552780602594357</stp>
        <tr r="E146" s="1"/>
      </tp>
      <tp t="b">
        <v>0</v>
        <stp/>
        <stp>BDP|12174970353871380146</stp>
        <tr r="C87" s="1"/>
      </tp>
      <tp t="b">
        <v>0</v>
        <stp/>
        <stp>BDP|18216010195218215765</stp>
        <tr r="I75" s="1"/>
      </tp>
      <tp t="b">
        <v>0</v>
        <stp/>
        <stp>BDP|16946930278207761114</stp>
        <tr r="G101" s="1"/>
      </tp>
      <tp t="b">
        <v>0</v>
        <stp/>
        <stp>BDP|11455721695097521605</stp>
        <tr r="G93" s="1"/>
      </tp>
      <tp t="b">
        <v>0</v>
        <stp/>
        <stp>BDP|12797827852638064919</stp>
        <tr r="G62" s="1"/>
      </tp>
      <tp t="b">
        <v>0</v>
        <stp/>
        <stp>BDP|15771897556087702068</stp>
        <tr r="I37" s="1"/>
      </tp>
      <tp t="b">
        <v>0</v>
        <stp/>
        <stp>BDP|15491280592613291252</stp>
        <tr r="F110" s="1"/>
      </tp>
      <tp t="b">
        <v>0</v>
        <stp/>
        <stp>BDP|13013183886607085260</stp>
        <tr r="F12" s="1"/>
      </tp>
      <tp t="b">
        <v>0</v>
        <stp/>
        <stp>BDP|10522545291460964329</stp>
        <tr r="G91" s="1"/>
      </tp>
      <tp t="b">
        <v>0</v>
        <stp/>
        <stp>BDP|14345581286804762200</stp>
        <tr r="C60" s="1"/>
      </tp>
      <tp t="b">
        <v>0</v>
        <stp/>
        <stp>BDP|18151352859505806490</stp>
        <tr r="H33" s="1"/>
      </tp>
      <tp t="b">
        <v>0</v>
        <stp/>
        <stp>BDP|16917034392701220151</stp>
        <tr r="H53" s="1"/>
      </tp>
      <tp t="b">
        <v>0</v>
        <stp/>
        <stp>BDP|10330569183424638613</stp>
        <tr r="G106" s="1"/>
      </tp>
      <tp t="b">
        <v>0</v>
        <stp/>
        <stp>BDP|18441360971324101735</stp>
        <tr r="E118" s="1"/>
      </tp>
      <tp t="b">
        <v>0</v>
        <stp/>
        <stp>BDP|13921905527540623789</stp>
        <tr r="G38" s="1"/>
      </tp>
      <tp t="b">
        <v>0</v>
        <stp/>
        <stp>BDP|15585065292103295035</stp>
        <tr r="G95" s="1"/>
      </tp>
      <tp t="b">
        <v>0</v>
        <stp/>
        <stp>BDP|15532272883702162207</stp>
        <tr r="F70" s="1"/>
      </tp>
      <tp t="b">
        <v>0</v>
        <stp/>
        <stp>BDP|14121307582196792672</stp>
        <tr r="C61" s="1"/>
      </tp>
      <tp t="b">
        <v>0</v>
        <stp/>
        <stp>BDP|18192160575628878996</stp>
        <tr r="I56" s="1"/>
      </tp>
      <tp t="b">
        <v>0</v>
        <stp/>
        <stp>BDP|16215813404177439607</stp>
        <tr r="C40" s="1"/>
      </tp>
      <tp t="b">
        <v>0</v>
        <stp/>
        <stp>BDP|14441302803899526101</stp>
        <tr r="C97" s="1"/>
      </tp>
      <tp t="b">
        <v>0</v>
        <stp/>
        <stp>BDP|14201665373988058233</stp>
        <tr r="C68" s="1"/>
      </tp>
      <tp t="b">
        <v>0</v>
        <stp/>
        <stp>BDP|17799848305778239802</stp>
        <tr r="F33" s="1"/>
      </tp>
      <tp t="b">
        <v>0</v>
        <stp/>
        <stp>BDP|14669662531709050753</stp>
        <tr r="F9" s="1"/>
      </tp>
      <tp t="b">
        <v>0</v>
        <stp/>
        <stp>BDP|11605978578208887860</stp>
        <tr r="I79" s="1"/>
      </tp>
      <tp t="b">
        <v>0</v>
        <stp/>
        <stp>BDP|10276723497332773364</stp>
        <tr r="F19" s="1"/>
      </tp>
      <tp t="b">
        <v>0</v>
        <stp/>
        <stp>BDP|18176887984580534412</stp>
        <tr r="E88" s="1"/>
      </tp>
      <tp t="b">
        <v>0</v>
        <stp/>
        <stp>BDP|11354110393425161082</stp>
        <tr r="E45" s="1"/>
      </tp>
      <tp t="b">
        <v>0</v>
        <stp/>
        <stp>BDP|11298679199081463339</stp>
        <tr r="G77" s="1"/>
      </tp>
      <tp t="b">
        <v>0</v>
        <stp/>
        <stp>BDP|16175601786220517492</stp>
        <tr r="C138" s="1"/>
      </tp>
      <tp t="b">
        <v>0</v>
        <stp/>
        <stp>BDP|14687958231561128399</stp>
        <tr r="F34" s="1"/>
      </tp>
      <tp t="b">
        <v>0</v>
        <stp/>
        <stp>BDP|13652866437615994148</stp>
        <tr r="E124" s="1"/>
      </tp>
      <tp t="b">
        <v>0</v>
        <stp/>
        <stp>BDP|12039771985855499493</stp>
        <tr r="H79" s="1"/>
      </tp>
      <tp t="b">
        <v>0</v>
        <stp/>
        <stp>BDP|18263288218036949158</stp>
        <tr r="G3" s="1"/>
      </tp>
      <tp t="b">
        <v>0</v>
        <stp/>
        <stp>BDP|17841572185786667023</stp>
        <tr r="C30" s="1"/>
      </tp>
      <tp t="b">
        <v>0</v>
        <stp/>
        <stp>BDP|14598962103570565156</stp>
        <tr r="E63" s="1"/>
      </tp>
      <tp t="b">
        <v>0</v>
        <stp/>
        <stp>BDP|11732200766080000911</stp>
        <tr r="E107" s="1"/>
      </tp>
      <tp t="b">
        <v>0</v>
        <stp/>
        <stp>BDP|10935895437807495032</stp>
        <tr r="E24" s="1"/>
        <tr r="E23" s="1"/>
      </tp>
      <tp t="b">
        <v>0</v>
        <stp/>
        <stp>BDP|18393064830151117672</stp>
        <tr r="C67" s="1"/>
      </tp>
      <tp t="b">
        <v>0</v>
        <stp/>
        <stp>BDP|15128207715378458230</stp>
        <tr r="E101" s="1"/>
      </tp>
      <tp t="b">
        <v>0</v>
        <stp/>
        <stp>BDP|13914724820452181885</stp>
        <tr r="F36" s="1"/>
      </tp>
      <tp t="b">
        <v>0</v>
        <stp/>
        <stp>BDP|11634876765944327752</stp>
        <tr r="F83" s="1"/>
      </tp>
      <tp t="b">
        <v>0</v>
        <stp/>
        <stp>BDP|12194034661531155975</stp>
        <tr r="I51" s="1"/>
      </tp>
      <tp t="b">
        <v>0</v>
        <stp/>
        <stp>BDP|10477552843845470837</stp>
        <tr r="I36" s="1"/>
      </tp>
      <tp t="b">
        <v>0</v>
        <stp/>
        <stp>BDP|13316133527488261404</stp>
        <tr r="F22" s="1"/>
      </tp>
      <tp t="b">
        <v>0</v>
        <stp/>
        <stp>BDP|15390771627129097543</stp>
        <tr r="G40" s="1"/>
      </tp>
      <tp t="b">
        <v>0</v>
        <stp/>
        <stp>BDP|17033898813817566599</stp>
        <tr r="I70" s="1"/>
      </tp>
      <tp t="b">
        <v>0</v>
        <stp/>
        <stp>BDP|16706531586166335174</stp>
        <tr r="E43" s="1"/>
      </tp>
      <tp t="b">
        <v>0</v>
        <stp/>
        <stp>BDP|15882631677681080855</stp>
        <tr r="F94" s="1"/>
      </tp>
      <tp t="b">
        <v>0</v>
        <stp/>
        <stp>BDP|13674666419969326038</stp>
        <tr r="C69" s="1"/>
      </tp>
      <tp t="b">
        <v>0</v>
        <stp/>
        <stp>BDP|15804434871249456244</stp>
        <tr r="E72" s="1"/>
      </tp>
      <tp t="b">
        <v>0</v>
        <stp/>
        <stp>BDP|13300826436452218780</stp>
        <tr r="G104" s="1"/>
      </tp>
      <tp t="b">
        <v>0</v>
        <stp/>
        <stp>BDP|10806212115126422851</stp>
        <tr r="F37" s="1"/>
      </tp>
      <tp t="b">
        <v>0</v>
        <stp/>
        <stp>BDP|13777189455942158845</stp>
        <tr r="C18" s="1"/>
      </tp>
      <tp t="b">
        <v>0</v>
        <stp/>
        <stp>BDP|13405982557791385391</stp>
        <tr r="C34" s="1"/>
      </tp>
      <tp t="b">
        <v>0</v>
        <stp/>
        <stp>BDP|10673090201695518881</stp>
        <tr r="F96" s="1"/>
      </tp>
      <tp t="b">
        <v>0</v>
        <stp/>
        <stp>BDP|15075015694020790161</stp>
        <tr r="F111" s="1"/>
      </tp>
      <tp t="b">
        <v>0</v>
        <stp/>
        <stp>BDP|18117822880624463102</stp>
        <tr r="E91" s="1"/>
      </tp>
      <tp t="b">
        <v>0</v>
        <stp/>
        <stp>BDP|13332147885237099048</stp>
        <tr r="E77" s="1"/>
      </tp>
      <tp t="b">
        <v>0</v>
        <stp/>
        <stp>BDP|17457572820961947338</stp>
        <tr r="C22" s="1"/>
      </tp>
      <tp t="b">
        <v>0</v>
        <stp/>
        <stp>BDP|14909479018781945278</stp>
        <tr r="G131" s="1"/>
        <tr r="G142" s="1"/>
        <tr r="G132" s="1"/>
        <tr r="G135" s="1"/>
        <tr r="G134" s="1"/>
        <tr r="G139" s="1"/>
        <tr r="G76" s="1"/>
        <tr r="G136" s="1"/>
        <tr r="G137" s="1"/>
        <tr r="G133" s="1"/>
        <tr r="G140" s="1"/>
        <tr r="G141" s="1"/>
        <tr r="G138" s="1"/>
        <tr r="G130" s="1"/>
      </tp>
      <tp t="b">
        <v>0</v>
        <stp/>
        <stp>BDP|10511218222427932524</stp>
        <tr r="C113" s="1"/>
      </tp>
      <tp t="b">
        <v>0</v>
        <stp/>
        <stp>BDP|14739847065578232094</stp>
        <tr r="F98" s="1"/>
      </tp>
      <tp t="b">
        <v>0</v>
        <stp/>
        <stp>BDP|17479385837886458337</stp>
        <tr r="C130" s="1"/>
      </tp>
      <tp t="b">
        <v>0</v>
        <stp/>
        <stp>BDP|12596760262711861059</stp>
        <tr r="G123" s="1"/>
      </tp>
      <tp t="b">
        <v>0</v>
        <stp/>
        <stp>BDP|15478004342183249081</stp>
        <tr r="C126" s="1"/>
      </tp>
      <tp t="b">
        <v>0</v>
        <stp/>
        <stp>BDP|12614585868552198181</stp>
        <tr r="E10" s="1"/>
      </tp>
      <tp t="b">
        <v>0</v>
        <stp/>
        <stp>BDP|16959608414376029520</stp>
        <tr r="E111" s="1"/>
      </tp>
      <tp t="b">
        <v>0</v>
        <stp/>
        <stp>BDP|17846661060723934680</stp>
        <tr r="E102" s="1"/>
      </tp>
      <tp t="b">
        <v>0</v>
        <stp/>
        <stp>BDP|11679895026379746010</stp>
        <tr r="G52" s="1"/>
        <tr r="G49" s="1"/>
        <tr r="G50" s="1"/>
      </tp>
      <tp t="b">
        <v>0</v>
        <stp/>
        <stp>BDP|12180780436362673685</stp>
        <tr r="C5" s="1"/>
      </tp>
      <tp t="b">
        <v>0</v>
        <stp/>
        <stp>BDP|13576772895449670600</stp>
        <tr r="E21" s="1"/>
      </tp>
      <tp t="b">
        <v>0</v>
        <stp/>
        <stp>BDP|12623441360171450371</stp>
        <tr r="G92" s="1"/>
      </tp>
      <tp t="b">
        <v>0</v>
        <stp/>
        <stp>BDP|14115412848182873426</stp>
        <tr r="G145" s="1"/>
      </tp>
      <tp t="b">
        <v>0</v>
        <stp/>
        <stp>BDP|16011171751530338073</stp>
        <tr r="H37" s="1"/>
      </tp>
      <tp t="b">
        <v>0</v>
        <stp/>
        <stp>BDP|14769517676087216369</stp>
        <tr r="E71" s="1"/>
      </tp>
      <tp t="b">
        <v>0</v>
        <stp/>
        <stp>BDP|14444123989659203691</stp>
        <tr r="E89" s="1"/>
      </tp>
      <tp t="b">
        <v>0</v>
        <stp/>
        <stp>BDP|12875521361402624190</stp>
        <tr r="E28" s="1"/>
      </tp>
      <tp t="b">
        <v>0</v>
        <stp/>
        <stp>BDP|12754354447120461774</stp>
        <tr r="F61" s="1"/>
      </tp>
      <tp t="b">
        <v>0</v>
        <stp/>
        <stp>BDP|18195608347348643061</stp>
        <tr r="C62" s="1"/>
      </tp>
      <tp t="b">
        <v>0</v>
        <stp/>
        <stp>BDP|17445203515963965412</stp>
        <tr r="F2" s="1"/>
      </tp>
      <tp t="b">
        <v>0</v>
        <stp/>
        <stp>BDP|13825707803853681444</stp>
        <tr r="C96" s="1"/>
      </tp>
      <tp t="b">
        <v>0</v>
        <stp/>
        <stp>BDP|16017278826033121684</stp>
        <tr r="G144" s="1"/>
      </tp>
      <tp t="b">
        <v>0</v>
        <stp/>
        <stp>BDP|14486030340626858574</stp>
        <tr r="C23" s="1"/>
      </tp>
      <tp t="b">
        <v>0</v>
        <stp/>
        <stp>BDP|17177757723465775481</stp>
        <tr r="E96" s="1"/>
      </tp>
      <tp t="b">
        <v>0</v>
        <stp/>
        <stp>BDP|12396084867631296664</stp>
        <tr r="C105" s="1"/>
      </tp>
      <tp t="b">
        <v>0</v>
        <stp/>
        <stp>BDP|16608231839821677528</stp>
        <tr r="F18" s="1"/>
      </tp>
      <tp t="b">
        <v>0</v>
        <stp/>
        <stp>BDP|14919537289282839803</stp>
        <tr r="C73" s="1"/>
      </tp>
      <tp t="b">
        <v>0</v>
        <stp/>
        <stp>BDP|13867504380349699447</stp>
        <tr r="E5" s="1"/>
      </tp>
      <tp t="b">
        <v>0</v>
        <stp/>
        <stp>BDP|13588152015014693490</stp>
        <tr r="E82" s="1"/>
      </tp>
      <tp t="b">
        <v>0</v>
        <stp/>
        <stp>BDP|12142172603621974104</stp>
        <tr r="C38" s="1"/>
      </tp>
      <tp t="b">
        <v>0</v>
        <stp/>
        <stp>BDP|13563829041629838516</stp>
        <tr r="E9" s="1"/>
      </tp>
      <tp t="b">
        <v>0</v>
        <stp/>
        <stp>BDP|10072247359623236700</stp>
        <tr r="H20" s="1"/>
      </tp>
      <tp t="b">
        <v>0</v>
        <stp/>
        <stp>BDP|10461695460982324105</stp>
        <tr r="C45" s="1"/>
      </tp>
      <tp t="b">
        <v>0</v>
        <stp/>
        <stp>BDP|11597349413682827244</stp>
        <tr r="F32" s="1"/>
      </tp>
      <tp t="b">
        <v>0</v>
        <stp/>
        <stp>BDP|15202615761700567668</stp>
        <tr r="E97" s="1"/>
      </tp>
      <tp t="b">
        <v>0</v>
        <stp/>
        <stp>BDP|13068619095166054944</stp>
        <tr r="F129" s="1"/>
      </tp>
      <tp t="b">
        <v>0</v>
        <stp/>
        <stp>BDP|15556812689634789293</stp>
        <tr r="G57" s="1"/>
        <tr r="G58" s="1"/>
      </tp>
      <tp t="b">
        <v>0</v>
        <stp/>
        <stp>BDP|18345552366811223918</stp>
        <tr r="E68" s="1"/>
      </tp>
      <tp t="b">
        <v>0</v>
        <stp/>
        <stp>BDP|14370170850915418652</stp>
        <tr r="H64" s="1"/>
      </tp>
      <tp t="b">
        <v>0</v>
        <stp/>
        <stp>BDP|12615669873159365943</stp>
        <tr r="G34" s="1"/>
      </tp>
      <tp t="b">
        <v>0</v>
        <stp/>
        <stp>BDP|16656124823017673157</stp>
        <tr r="G29" s="1"/>
      </tp>
      <tp t="b">
        <v>0</v>
        <stp/>
        <stp>BDP|12074351423045190506</stp>
        <tr r="G2" s="1"/>
      </tp>
      <tp t="b">
        <v>0</v>
        <stp/>
        <stp>BDP|16787111557163645213</stp>
        <tr r="E53" s="1"/>
      </tp>
      <tp t="b">
        <v>0</v>
        <stp/>
        <stp>BDP|10829076751172529728</stp>
        <tr r="E85" s="1"/>
      </tp>
      <tp t="b">
        <v>0</v>
        <stp/>
        <stp>BDP|18392165919230686834</stp>
        <tr r="F13" s="1"/>
      </tp>
      <tp t="b">
        <v>0</v>
        <stp/>
        <stp>BDP|16035559032689603997</stp>
        <tr r="C120" s="1"/>
      </tp>
      <tp t="b">
        <v>0</v>
        <stp/>
        <stp>BDP|12804347308327976659</stp>
        <tr r="G80" s="1"/>
      </tp>
      <tp t="b">
        <v>0</v>
        <stp/>
        <stp>BDP|14474442167536317088</stp>
        <tr r="C145" s="1"/>
      </tp>
      <tp t="b">
        <v>0</v>
        <stp/>
        <stp>BDP|12372226950663922648</stp>
        <tr r="F91" s="1"/>
      </tp>
      <tp t="b">
        <v>0</v>
        <stp/>
        <stp>BDP|14712724548924571346</stp>
        <tr r="C82" s="1"/>
      </tp>
      <tp t="b">
        <v>0</v>
        <stp/>
        <stp>BDP|14292420422195531785</stp>
        <tr r="E46" s="1"/>
      </tp>
      <tp t="b">
        <v>0</v>
        <stp/>
        <stp>BDP|12474015952791091681</stp>
        <tr r="E99" s="1"/>
      </tp>
      <tp t="b">
        <v>0</v>
        <stp/>
        <stp>BDP|10435816789453011330</stp>
        <tr r="E78" s="1"/>
      </tp>
      <tp t="b">
        <v>0</v>
        <stp/>
        <stp>BDP|12947063551272077501</stp>
        <tr r="E81" s="1"/>
      </tp>
      <tp t="b">
        <v>0</v>
        <stp/>
        <stp>BDP|15938164786554754805</stp>
        <tr r="F4" s="1"/>
      </tp>
      <tp t="b">
        <v>0</v>
        <stp/>
        <stp>BDP|11377594161657355566</stp>
        <tr r="F15" s="1"/>
      </tp>
      <tp t="b">
        <v>0</v>
        <stp/>
        <stp>BDP|17235103483988210625</stp>
        <tr r="E7" s="1"/>
      </tp>
      <tp t="b">
        <v>0</v>
        <stp/>
        <stp>BDP|17131943744243244933</stp>
        <tr r="G37" s="1"/>
      </tp>
      <tp t="b">
        <v>0</v>
        <stp/>
        <stp>BDP|17627791939422674133</stp>
        <tr r="G98" s="1"/>
      </tp>
      <tp t="b">
        <v>0</v>
        <stp/>
        <stp>BDP|17734045727796651311</stp>
        <tr r="H66" s="1"/>
      </tp>
      <tp t="b">
        <v>0</v>
        <stp/>
        <stp>BDP|15601023519711970516</stp>
        <tr r="G78" s="1"/>
      </tp>
      <tp t="b">
        <v>0</v>
        <stp/>
        <stp>BDP|10807512680324448998</stp>
        <tr r="E6" s="1"/>
      </tp>
      <tp t="b">
        <v>0</v>
        <stp/>
        <stp>BDP|14658558330140490204</stp>
        <tr r="I110" s="1"/>
      </tp>
      <tp t="b">
        <v>0</v>
        <stp/>
        <stp>BDP|17484906282643504557</stp>
        <tr r="G122" s="1"/>
      </tp>
      <tp t="b">
        <v>0</v>
        <stp/>
        <stp>BDP|17317770149893853732</stp>
        <tr r="I71" s="1"/>
      </tp>
      <tp t="b">
        <v>0</v>
        <stp/>
        <stp>BDP|11400172099650201815</stp>
        <tr r="G5" s="1"/>
      </tp>
      <tp t="b">
        <v>0</v>
        <stp/>
        <stp>BDP|10344390327729648927</stp>
        <tr r="I78" s="1"/>
      </tp>
      <tp t="b">
        <v>0</v>
        <stp/>
        <stp>BDP|12964109420130026028</stp>
        <tr r="F6" s="1"/>
      </tp>
      <tp t="b">
        <v>0</v>
        <stp/>
        <stp>BDP|14213073337105118399</stp>
        <tr r="I124" s="1"/>
      </tp>
      <tp t="b">
        <v>0</v>
        <stp/>
        <stp>BDP|18361119551748925502</stp>
        <tr r="H63" s="1"/>
      </tp>
      <tp t="b">
        <v>0</v>
        <stp/>
        <stp>BDP|16898294277747590594</stp>
        <tr r="I108" s="1"/>
      </tp>
      <tp t="b">
        <v>0</v>
        <stp/>
        <stp>BDP|16837001740342312115</stp>
        <tr r="I45" s="1"/>
      </tp>
      <tp t="b">
        <v>0</v>
        <stp/>
        <stp>BDP|17815318302584468128</stp>
        <tr r="C95" s="1"/>
      </tp>
      <tp t="b">
        <v>0</v>
        <stp/>
        <stp>BDP|10772131517215478499</stp>
        <tr r="F75" s="1"/>
      </tp>
      <tp t="b">
        <v>0</v>
        <stp/>
        <stp>BDP|10561111529395054733</stp>
        <tr r="I112" s="1"/>
      </tp>
      <tp t="b">
        <v>0</v>
        <stp/>
        <stp>BDP|11666250761957235317</stp>
        <tr r="I53" s="1"/>
      </tp>
      <tp t="b">
        <v>0</v>
        <stp/>
        <stp>BDP|13197649934564480356</stp>
        <tr r="G32" s="1"/>
      </tp>
      <tp t="b">
        <v>0</v>
        <stp/>
        <stp>BDP|11149110114211487133</stp>
        <tr r="C29" s="1"/>
      </tp>
      <tp t="b">
        <v>0</v>
        <stp/>
        <stp>BDP|15173886018728210518</stp>
        <tr r="G109" s="1"/>
      </tp>
      <tp t="b">
        <v>0</v>
        <stp/>
        <stp>BDP|16305151175048867993</stp>
        <tr r="H111" s="1"/>
      </tp>
      <tp t="b">
        <v>0</v>
        <stp/>
        <stp>BDP|14632835682575145018</stp>
        <tr r="E103" s="1"/>
      </tp>
      <tp t="b">
        <v>0</v>
        <stp/>
        <stp>BDP|14782569152060672528</stp>
        <tr r="F8" s="1"/>
      </tp>
      <tp t="b">
        <v>0</v>
        <stp/>
        <stp>BDP|12729909088792957015</stp>
        <tr r="E39" s="1"/>
      </tp>
      <tp t="b">
        <v>0</v>
        <stp/>
        <stp>BDP|13786984470165809909</stp>
        <tr r="C70" s="1"/>
      </tp>
      <tp t="b">
        <v>0</v>
        <stp/>
        <stp>BDP|14984627043390781063</stp>
        <tr r="E112" s="1"/>
      </tp>
      <tp t="b">
        <v>0</v>
        <stp/>
        <stp>BDP|14619670449304442449</stp>
        <tr r="E38" s="1"/>
      </tp>
      <tp t="b">
        <v>0</v>
        <stp/>
        <stp>BDP|10892122405067170057</stp>
        <tr r="C26" s="1"/>
      </tp>
      <tp t="b">
        <v>0</v>
        <stp/>
        <stp>BDP|16763027575510909727</stp>
        <tr r="H124" s="1"/>
      </tp>
      <tp t="b">
        <v>0</v>
        <stp/>
        <stp>BDP|17827584559079667859</stp>
        <tr r="E109" s="1"/>
      </tp>
      <tp t="b">
        <v>0</v>
        <stp/>
        <stp>BDP|15440446637247516387</stp>
        <tr r="F41" s="1"/>
      </tp>
      <tp t="b">
        <v>0</v>
        <stp/>
        <stp>BDP|15875333301257973795</stp>
        <tr r="I48" s="1"/>
      </tp>
      <tp t="b">
        <v>0</v>
        <stp/>
        <stp>BDP|14074110077563215790</stp>
        <tr r="F20" s="1"/>
      </tp>
      <tp t="b">
        <v>0</v>
        <stp/>
        <stp>BDP|17279351664972997666</stp>
        <tr r="I47" s="1"/>
      </tp>
      <tp t="b">
        <v>0</v>
        <stp/>
        <stp>BDP|14249301287488878116</stp>
        <tr r="F122" s="1"/>
      </tp>
      <tp t="b">
        <v>0</v>
        <stp/>
        <stp>BDP|16419063850352645782</stp>
        <tr r="G94" s="1"/>
      </tp>
      <tp t="b">
        <v>0</v>
        <stp/>
        <stp>BDP|14896115734083122332</stp>
        <tr r="C3" s="1"/>
      </tp>
      <tp t="b">
        <v>0</v>
        <stp/>
        <stp>BDP|13187160829421144709</stp>
        <tr r="H123" s="1"/>
      </tp>
      <tp t="b">
        <v>0</v>
        <stp/>
        <stp>BDP|17027530445488038893</stp>
        <tr r="C42" s="1"/>
      </tp>
      <tp t="b">
        <v>0</v>
        <stp/>
        <stp>BDP|14546767737141483717</stp>
        <tr r="F127" s="1"/>
      </tp>
      <tp t="b">
        <v>0</v>
        <stp/>
        <stp>BDP|16185843101909655124</stp>
        <tr r="G114" s="1"/>
      </tp>
      <tp t="b">
        <v>0</v>
        <stp/>
        <stp>BDP|17109345376953769671</stp>
        <tr r="F100" s="1"/>
      </tp>
      <tp t="b">
        <v>0</v>
        <stp/>
        <stp>BDP|16943765377876925645</stp>
        <tr r="E57" s="1"/>
        <tr r="E58" s="1"/>
      </tp>
      <tp t="b">
        <v>0</v>
        <stp/>
        <stp>BDP|11113432873077748317</stp>
        <tr r="F43" s="1"/>
      </tp>
      <tp t="b">
        <v>0</v>
        <stp/>
        <stp>BDP|11129285278156355447</stp>
        <tr r="F114" s="1"/>
      </tp>
      <tp t="b">
        <v>0</v>
        <stp/>
        <stp>BDP|12645142022793164594</stp>
        <tr r="H125" s="1"/>
      </tp>
      <tp t="b">
        <v>0</v>
        <stp/>
        <stp>BDP|11249104672407258793</stp>
        <tr r="E56" s="1"/>
      </tp>
      <tp t="b">
        <v>0</v>
        <stp/>
        <stp>BDP|11379552193513854964</stp>
        <tr r="H43" s="1"/>
      </tp>
      <tp t="b">
        <v>0</v>
        <stp/>
        <stp>BDP|11099473458014625341</stp>
        <tr r="F44" s="1"/>
      </tp>
      <tp t="b">
        <v>0</v>
        <stp/>
        <stp>BDP|10582086251607092514</stp>
        <tr r="F47" s="1"/>
      </tp>
      <tp t="b">
        <v>0</v>
        <stp/>
        <stp>BDP|16162780687619361712</stp>
        <tr r="E37" s="1"/>
      </tp>
      <tp t="b">
        <v>0</v>
        <stp/>
        <stp>BDP|15960754057205636520</stp>
        <tr r="I41" s="1"/>
      </tp>
      <tp t="b">
        <v>0</v>
        <stp/>
        <stp>BDP|10974727972946377158</stp>
        <tr r="C14" s="1"/>
      </tp>
      <tp t="b">
        <v>0</v>
        <stp/>
        <stp>BDP|10546476815636723412</stp>
        <tr r="I145" s="1"/>
      </tp>
      <tp t="b">
        <v>0</v>
        <stp/>
        <stp>BDP|16447269292548433273</stp>
        <tr r="C2" s="1"/>
      </tp>
      <tp t="b">
        <v>0</v>
        <stp/>
        <stp>BDP|11066837381491279726</stp>
        <tr r="H54" s="1"/>
        <tr r="H55" s="1"/>
      </tp>
      <tp t="b">
        <v>0</v>
        <stp/>
        <stp>BDP|10680804743553208825</stp>
        <tr r="E52" s="1"/>
        <tr r="E49" s="1"/>
        <tr r="E50" s="1"/>
      </tp>
      <tp t="b">
        <v>0</v>
        <stp/>
        <stp>BDP|12356966534768622725</stp>
        <tr r="E80" s="1"/>
      </tp>
      <tp t="b">
        <v>0</v>
        <stp/>
        <stp>BDP|11550521953077117104</stp>
        <tr r="I59" s="1"/>
      </tp>
      <tp t="b">
        <v>0</v>
        <stp/>
        <stp>BDP|15938969383391182291</stp>
        <tr r="I146" s="1"/>
      </tp>
    </main>
    <main first="bofaddin.rtdserver">
      <tp t="b">
        <v>0</v>
        <stp/>
        <stp>BDP|12696090074290184137</stp>
        <tr r="E92" s="1"/>
      </tp>
      <tp t="b">
        <v>0</v>
        <stp/>
        <stp>BDP|10182192054500363079</stp>
        <tr r="G75" s="1"/>
      </tp>
      <tp t="b">
        <v>0</v>
        <stp/>
        <stp>BDP|15419448073361875306</stp>
        <tr r="F90" s="1"/>
      </tp>
      <tp t="b">
        <v>0</v>
        <stp/>
        <stp>BDP|15613018259140241477</stp>
        <tr r="E144" s="1"/>
      </tp>
      <tp t="b">
        <v>0</v>
        <stp/>
        <stp>BDP|16717698927540702650</stp>
        <tr r="E119" s="1"/>
      </tp>
      <tp t="b">
        <v>0</v>
        <stp/>
        <stp>BDP|15881330461545654178</stp>
        <tr r="F59" s="1"/>
      </tp>
      <tp t="b">
        <v>0</v>
        <stp/>
        <stp>BDP|18178457226782112886</stp>
        <tr r="F17" s="1"/>
      </tp>
      <tp t="b">
        <v>0</v>
        <stp/>
        <stp>BDP|15368601659226630468</stp>
        <tr r="F118" s="1"/>
      </tp>
      <tp t="b">
        <v>0</v>
        <stp/>
        <stp>BDP|16960733748496955716</stp>
        <tr r="H73" s="1"/>
      </tp>
      <tp t="b">
        <v>0</v>
        <stp/>
        <stp>BDP|12195081251036374561</stp>
        <tr r="F82" s="1"/>
      </tp>
      <tp t="b">
        <v>0</v>
        <stp/>
        <stp>BDP|18074937152753547389</stp>
        <tr r="I125" s="1"/>
      </tp>
      <tp t="b">
        <v>0</v>
        <stp/>
        <stp>BDP|15209615794958985617</stp>
        <tr r="I73" s="1"/>
      </tp>
      <tp t="b">
        <v>0</v>
        <stp/>
        <stp>BDP|12614889552203551868</stp>
        <tr r="I68" s="1"/>
      </tp>
      <tp t="b">
        <v>0</v>
        <stp/>
        <stp>BDP|14260639163004545490</stp>
        <tr r="G116" s="1"/>
      </tp>
      <tp t="b">
        <v>0</v>
        <stp/>
        <stp>BDP|11882599163316514099</stp>
        <tr r="C90" s="1"/>
      </tp>
      <tp t="b">
        <v>0</v>
        <stp/>
        <stp>BDP|16041475867800953072</stp>
        <tr r="I69" s="1"/>
      </tp>
      <tp t="b">
        <v>0</v>
        <stp/>
        <stp>BDP|10516794595373073981</stp>
        <tr r="H51" s="1"/>
      </tp>
      <tp t="b">
        <v>0</v>
        <stp/>
        <stp>BDP|15615982298663675202</stp>
        <tr r="C27" s="1"/>
      </tp>
      <tp t="b">
        <v>0</v>
        <stp/>
        <stp>BDP|12061436304984207678</stp>
        <tr r="C47" s="1"/>
      </tp>
      <tp t="b">
        <v>0</v>
        <stp/>
        <stp>BDP|16031064033904245505</stp>
        <tr r="C86" s="1"/>
      </tp>
      <tp t="b">
        <v>0</v>
        <stp/>
        <stp>BDP|16284305213001243157</stp>
        <tr r="E32" s="1"/>
      </tp>
      <tp t="b">
        <v>0</v>
        <stp/>
        <stp>BDP|16432725295079468514</stp>
        <tr r="F126" s="1"/>
      </tp>
      <tp t="b">
        <v>0</v>
        <stp/>
        <stp>BDP|13390749015350988027</stp>
        <tr r="G111" s="1"/>
      </tp>
      <tp t="b">
        <v>0</v>
        <stp/>
        <stp>BDP|13338945575048901026</stp>
        <tr r="H32" s="1"/>
      </tp>
      <tp t="b">
        <v>0</v>
        <stp/>
        <stp>BDP|12384604524163903059</stp>
        <tr r="C112" s="1"/>
      </tp>
      <tp t="b">
        <v>0</v>
        <stp/>
        <stp>BDP|15937331341310883793</stp>
        <tr r="C141" s="1"/>
      </tp>
      <tp t="b">
        <v>0</v>
        <stp/>
        <stp>BDP|16317831785937962467</stp>
        <tr r="I64" s="1"/>
      </tp>
      <tp t="b">
        <v>0</v>
        <stp/>
        <stp>BDP|15220279345930462695</stp>
        <tr r="C131" s="1"/>
      </tp>
      <tp t="b">
        <v>0</v>
        <stp/>
        <stp>BDP|11751505980541355889</stp>
        <tr r="C50" s="1"/>
      </tp>
      <tp t="b">
        <v>0</v>
        <stp/>
        <stp>BDP|13875219906841646556</stp>
        <tr r="C89" s="1"/>
      </tp>
      <tp t="b">
        <v>0</v>
        <stp/>
        <stp>BDP|11787245821617876355</stp>
        <tr r="F86" s="1"/>
      </tp>
      <tp t="b">
        <v>0</v>
        <stp/>
        <stp>BDP|12935443725300007169</stp>
        <tr r="G79" s="1"/>
      </tp>
      <tp t="b">
        <v>0</v>
        <stp/>
        <stp>BDP|15437692673008785978</stp>
        <tr r="G121" s="1"/>
      </tp>
      <tp t="b">
        <v>0</v>
        <stp/>
        <stp>BDP|18240281966911573883</stp>
        <tr r="E100" s="1"/>
      </tp>
      <tp t="b">
        <v>0</v>
        <stp/>
        <stp>BDP|15647344244335330243</stp>
        <tr r="G143" s="1"/>
      </tp>
      <tp t="b">
        <v>0</v>
        <stp/>
        <stp>BDP|12757423865776474353</stp>
        <tr r="G108" s="1"/>
      </tp>
      <tp t="b">
        <v>0</v>
        <stp/>
        <stp>BDP|16571481567625927439</stp>
        <tr r="G68" s="1"/>
      </tp>
      <tp t="b">
        <v>0</v>
        <stp/>
        <stp>BDP|14612710985877729954</stp>
        <tr r="H112" s="1"/>
      </tp>
      <tp t="b">
        <v>0</v>
        <stp/>
        <stp>BDP|12001512120327054718</stp>
        <tr r="G100" s="1"/>
      </tp>
      <tp t="b">
        <v>0</v>
        <stp/>
        <stp>BDP|15664342775602495604</stp>
        <tr r="I54" s="1"/>
        <tr r="I55" s="1"/>
      </tp>
      <tp t="b">
        <v>0</v>
        <stp/>
        <stp>BDP|16090475103960692704</stp>
        <tr r="F117" s="1"/>
      </tp>
      <tp t="b">
        <v>0</v>
        <stp/>
        <stp>BDP|17138017284248846293</stp>
        <tr r="G74" s="1"/>
      </tp>
      <tp t="b">
        <v>0</v>
        <stp/>
        <stp>BDP|15156511344677640669</stp>
        <tr r="C108" s="1"/>
      </tp>
      <tp t="b">
        <v>0</v>
        <stp/>
        <stp>BDP|12150920495137666072</stp>
        <tr r="H69" s="1"/>
      </tp>
      <tp t="b">
        <v>0</v>
        <stp/>
        <stp>BDP|18210479075168621609</stp>
        <tr r="F68" s="1"/>
      </tp>
    </main>
    <main first="bofaddin.rtdserver">
      <tp t="b">
        <v>0</v>
        <stp/>
        <stp>BQL|3493425236360932866</stp>
        <tr r="D114" s="1"/>
      </tp>
      <tp t="b">
        <v>0</v>
        <stp/>
        <stp>BQL|1825554223049552369</stp>
        <tr r="B97" s="1"/>
      </tp>
      <tp t="b">
        <v>0</v>
        <stp/>
        <stp>BQL|1216943603576743297</stp>
        <tr r="B101" s="1"/>
      </tp>
      <tp t="b">
        <v>0</v>
        <stp/>
        <stp>BQL|5113953065027821137</stp>
        <tr r="D113" s="1"/>
      </tp>
      <tp t="b">
        <v>0</v>
        <stp/>
        <stp>BQL|2659845488059277729</stp>
        <tr r="B85" s="1"/>
      </tp>
      <tp t="b">
        <v>0</v>
        <stp/>
        <stp>BQL|7930112580960629243</stp>
        <tr r="B21" s="1"/>
      </tp>
      <tp t="b">
        <v>0</v>
        <stp/>
        <stp>BQL|9986712803960184201</stp>
        <tr r="B110" s="1"/>
      </tp>
      <tp t="b">
        <v>0</v>
        <stp/>
        <stp>BQL|7969011723138677157</stp>
        <tr r="D145" s="1"/>
      </tp>
      <tp t="b">
        <v>0</v>
        <stp/>
        <stp>BQL|5595495295431210589</stp>
        <tr r="B127" s="1"/>
      </tp>
      <tp t="b">
        <v>0</v>
        <stp/>
        <stp>BQL|7329788011925939802</stp>
        <tr r="D100" s="1"/>
      </tp>
      <tp t="b">
        <v>0</v>
        <stp/>
        <stp>BQL|5306266967704746974</stp>
        <tr r="D78" s="1"/>
      </tp>
      <tp t="b">
        <v>0</v>
        <stp/>
        <stp>BDP|2565536899822058057</stp>
        <tr r="G7" s="1"/>
      </tp>
      <tp t="b">
        <v>0</v>
        <stp/>
        <stp>BDP|4734094105561473954</stp>
        <tr r="F81" s="1"/>
      </tp>
      <tp t="b">
        <v>0</v>
        <stp/>
        <stp>BDP|6195442822989470591</stp>
        <tr r="G117" s="1"/>
      </tp>
      <tp t="b">
        <v>0</v>
        <stp/>
        <stp>BDP|4961173595500482043</stp>
        <tr r="C135" s="1"/>
      </tp>
      <tp t="b">
        <v>0</v>
        <stp/>
        <stp>BDP|2310140127324810939</stp>
        <tr r="G110" s="1"/>
      </tp>
      <tp t="b">
        <v>0</v>
        <stp/>
        <stp>BDP|2342604001048856029</stp>
        <tr r="C56" s="1"/>
      </tp>
      <tp t="b">
        <v>0</v>
        <stp/>
        <stp>BDP|9997542473213370437</stp>
        <tr r="E36" s="1"/>
      </tp>
      <tp t="b">
        <v>0</v>
        <stp/>
        <stp>BDP|2127662892907207694</stp>
        <tr r="C39" s="1"/>
      </tp>
      <tp t="b">
        <v>0</v>
        <stp/>
        <stp>BDP|3456911149927494565</stp>
        <tr r="G113" s="1"/>
      </tp>
      <tp t="b">
        <v>0</v>
        <stp/>
        <stp>BDP|5990389912369705272</stp>
        <tr r="G16" s="1"/>
      </tp>
      <tp t="b">
        <v>0</v>
        <stp/>
        <stp>BDP|2466854731557158221</stp>
        <tr r="G18" s="1"/>
      </tp>
      <tp t="b">
        <v>0</v>
        <stp/>
        <stp>BDP|1155912344407128751</stp>
        <tr r="F46" s="1"/>
      </tp>
      <tp t="b">
        <v>0</v>
        <stp/>
        <stp>BDP|6760378380192209335</stp>
        <tr r="C53" s="1"/>
      </tp>
      <tp t="b">
        <v>0</v>
        <stp/>
        <stp>BDP|5884760408008732605</stp>
        <tr r="F72" s="1"/>
      </tp>
      <tp t="b">
        <v>0</v>
        <stp/>
        <stp>BDP|8750649739135866440</stp>
        <tr r="F109" s="1"/>
      </tp>
      <tp t="b">
        <v>0</v>
        <stp/>
        <stp>BDP|2562076294766108116</stp>
        <tr r="F40" s="1"/>
      </tp>
      <tp t="b">
        <v>0</v>
        <stp/>
        <stp>BDP|6329358730912369830</stp>
        <tr r="G28" s="1"/>
      </tp>
      <tp t="b">
        <v>0</v>
        <stp/>
        <stp>BDP|8715761706135594655</stp>
        <tr r="F30" s="1"/>
      </tp>
      <tp t="b">
        <v>0</v>
        <stp/>
        <stp>BDP|3079881552875927742</stp>
        <tr r="F144" s="1"/>
      </tp>
      <tp t="b">
        <v>0</v>
        <stp/>
        <stp>BDP|2086270808058933415</stp>
        <tr r="G115" s="1"/>
      </tp>
      <tp t="b">
        <v>0</v>
        <stp/>
        <stp>BDP|6266238594256427756</stp>
        <tr r="F5" s="1"/>
      </tp>
      <tp t="b">
        <v>0</v>
        <stp/>
        <stp>BDP|2487647522662790808</stp>
        <tr r="I61" s="1"/>
      </tp>
      <tp t="b">
        <v>0</v>
        <stp/>
        <stp>BDP|8991053456727789688</stp>
        <tr r="I60" s="1"/>
      </tp>
      <tp t="b">
        <v>0</v>
        <stp/>
        <stp>BDP|1572315500208289636</stp>
        <tr r="G87" s="1"/>
      </tp>
      <tp t="b">
        <v>0</v>
        <stp/>
        <stp>BDP|7368241912471229920</stp>
        <tr r="G48" s="1"/>
      </tp>
    </main>
    <main first="bofaddin.rtdserver">
      <tp t="b">
        <v>0</v>
        <stp/>
        <stp>BQL|2508300828749162712</stp>
        <tr r="D104" s="1"/>
      </tp>
      <tp t="b">
        <v>0</v>
        <stp/>
        <stp>BQL|8297061319932279658</stp>
        <tr r="D81" s="1"/>
      </tp>
      <tp t="b">
        <v>0</v>
        <stp/>
        <stp>BQL|2984594996494532791</stp>
        <tr r="B68" s="1"/>
      </tp>
      <tp t="b">
        <v>0</v>
        <stp/>
        <stp>BQL|2039472192872850045</stp>
        <tr r="B99" s="1"/>
      </tp>
      <tp t="b">
        <v>0</v>
        <stp/>
        <stp>BQL|9471433382159382116</stp>
        <tr r="B50" s="1"/>
      </tp>
      <tp t="b">
        <v>0</v>
        <stp/>
        <stp>BQL|2267437575069101537</stp>
        <tr r="B19" s="1"/>
      </tp>
      <tp t="b">
        <v>0</v>
        <stp/>
        <stp>BQL|6431348992226643709</stp>
        <tr r="D35" s="1"/>
      </tp>
      <tp t="b">
        <v>0</v>
        <stp/>
        <stp>BQL|5658057949218993400</stp>
        <tr r="D98" s="1"/>
      </tp>
      <tp t="b">
        <v>0</v>
        <stp/>
        <stp>BQL|5035296965345922941</stp>
        <tr r="B134" s="1"/>
      </tp>
      <tp t="b">
        <v>0</v>
        <stp/>
        <stp>BQL|8478949602338797443</stp>
        <tr r="D111" s="1"/>
      </tp>
      <tp t="b">
        <v>0</v>
        <stp/>
        <stp>BQL|1664366289375859209</stp>
        <tr r="D101" s="1"/>
      </tp>
      <tp t="b">
        <v>0</v>
        <stp/>
        <stp>BQL|8301357472338750929</stp>
        <tr r="D97" s="1"/>
      </tp>
      <tp t="b">
        <v>0</v>
        <stp/>
        <stp>BDP|9588095148057969777</stp>
        <tr r="F104" s="1"/>
      </tp>
      <tp t="b">
        <v>0</v>
        <stp/>
        <stp>BDP|8171832313695855913</stp>
        <tr r="C46" s="1"/>
      </tp>
      <tp t="b">
        <v>0</v>
        <stp/>
        <stp>BDP|8920008555436752622</stp>
        <tr r="F31" s="1"/>
      </tp>
      <tp t="b">
        <v>0</v>
        <stp/>
        <stp>BDP|8225494107956142744</stp>
        <tr r="G86" s="1"/>
      </tp>
      <tp t="b">
        <v>0</v>
        <stp/>
        <stp>BDP|9672313452301426386</stp>
        <tr r="C124" s="1"/>
      </tp>
      <tp t="b">
        <v>0</v>
        <stp/>
        <stp>BDP|5482487395721003458</stp>
        <tr r="C75" s="1"/>
      </tp>
      <tp t="b">
        <v>0</v>
        <stp/>
        <stp>BDP|5339726892026815099</stp>
        <tr r="H47" s="1"/>
      </tp>
      <tp t="b">
        <v>0</v>
        <stp/>
        <stp>BDP|3095027004379675702</stp>
        <tr r="G56" s="1"/>
      </tp>
      <tp t="b">
        <v>0</v>
        <stp/>
        <stp>BDP|7694421866510506877</stp>
        <tr r="C110" s="1"/>
      </tp>
      <tp t="b">
        <v>0</v>
        <stp/>
        <stp>BDP|4620438635876866885</stp>
        <tr r="E90" s="1"/>
      </tp>
      <tp t="b">
        <v>0</v>
        <stp/>
        <stp>BDP|6669629317639515569</stp>
        <tr r="H70" s="1"/>
      </tp>
      <tp t="b">
        <v>0</v>
        <stp/>
        <stp>BDP|2681469022760005962</stp>
        <tr r="I111" s="1"/>
      </tp>
      <tp t="b">
        <v>0</v>
        <stp/>
        <stp>BDP|7697066349519419789</stp>
        <tr r="G97" s="1"/>
      </tp>
      <tp t="b">
        <v>0</v>
        <stp/>
        <stp>BDP|1924628998416284542</stp>
        <tr r="G36" s="1"/>
      </tp>
      <tp t="b">
        <v>0</v>
        <stp/>
        <stp>BQL|5004542589640251615</stp>
        <tr r="B45" s="1"/>
      </tp>
      <tp t="b">
        <v>0</v>
        <stp/>
        <stp>BQL|2143552129472335907</stp>
        <tr r="B30" s="1"/>
      </tp>
      <tp t="b">
        <v>0</v>
        <stp/>
        <stp>BQL|3861281328358688538</stp>
        <tr r="D65" s="1"/>
      </tp>
      <tp t="b">
        <v>0</v>
        <stp/>
        <stp>BQL|3569532609630687836</stp>
        <tr r="B46" s="1"/>
      </tp>
      <tp t="b">
        <v>0</v>
        <stp/>
        <stp>BDP|1411568432210306992</stp>
        <tr r="F35" s="1"/>
      </tp>
      <tp t="b">
        <v>0</v>
        <stp/>
        <stp>BDP|7919517286592629633</stp>
        <tr r="H72" s="1"/>
      </tp>
      <tp t="b">
        <v>0</v>
        <stp/>
        <stp>BDP|5946042936869155134</stp>
        <tr r="E79" s="1"/>
      </tp>
      <tp t="b">
        <v>0</v>
        <stp/>
        <stp>BDP|1276528239120567958</stp>
        <tr r="G47" s="1"/>
      </tp>
      <tp t="b">
        <v>0</v>
        <stp/>
        <stp>BDP|9447037140151934273</stp>
        <tr r="C66" s="1"/>
      </tp>
      <tp t="b">
        <v>0</v>
        <stp/>
        <stp>BDP|1335158888181574752</stp>
        <tr r="C78" s="1"/>
      </tp>
      <tp t="b">
        <v>0</v>
        <stp/>
        <stp>BDP|4069529688166516136</stp>
        <tr r="G71" s="1"/>
      </tp>
      <tp t="b">
        <v>0</v>
        <stp/>
        <stp>BDP|6376925842695914060</stp>
        <tr r="C48" s="1"/>
      </tp>
      <tp t="b">
        <v>0</v>
        <stp/>
        <stp>BDP|9122964988713590570</stp>
        <tr r="H109" s="1"/>
      </tp>
      <tp t="b">
        <v>0</v>
        <stp/>
        <stp>BDP|6510497051541473842</stp>
        <tr r="F60" s="1"/>
      </tp>
      <tp t="b">
        <v>0</v>
        <stp/>
        <stp>BDP|3693867353874091410</stp>
        <tr r="E123" s="1"/>
      </tp>
      <tp t="b">
        <v>0</v>
        <stp/>
        <stp>BDP|3833391960190396835</stp>
        <tr r="H77" s="1"/>
      </tp>
      <tp t="b">
        <v>0</v>
        <stp/>
        <stp>BDP|1113135471208419166</stp>
        <tr r="E11" s="1"/>
      </tp>
      <tp t="b">
        <v>0</v>
        <stp/>
        <stp>BDP|8542487669556445269</stp>
        <tr r="G4" s="1"/>
      </tp>
      <tp t="b">
        <v>0</v>
        <stp/>
        <stp>BDP|3044136026777710942</stp>
        <tr r="C106" s="1"/>
      </tp>
      <tp t="b">
        <v>0</v>
        <stp/>
        <stp>BDP|3218965550815036407</stp>
        <tr r="I109" s="1"/>
      </tp>
      <tp t="b">
        <v>0</v>
        <stp/>
        <stp>BDP|3072803339044429285</stp>
        <tr r="F78" s="1"/>
      </tp>
    </main>
    <main first="bofaddin.rtdserver">
      <tp t="b">
        <v>0</v>
        <stp/>
        <stp>BQL|5155985916982542003</stp>
        <tr r="D105" s="1"/>
      </tp>
      <tp t="b">
        <v>0</v>
        <stp/>
        <stp>BQL|1544452198995730682</stp>
        <tr r="B53" s="1"/>
      </tp>
      <tp t="b">
        <v>0</v>
        <stp/>
        <stp>BQL|8047278524033749423</stp>
        <tr r="D32" s="1"/>
      </tp>
      <tp t="b">
        <v>0</v>
        <stp/>
        <stp>BQL|2479580882999958928</stp>
        <tr r="B70" s="1"/>
      </tp>
      <tp t="b">
        <v>0</v>
        <stp/>
        <stp>BQL|6584957892708290141</stp>
        <tr r="B35" s="1"/>
      </tp>
      <tp t="b">
        <v>0</v>
        <stp/>
        <stp>BQL|5912945610974925672</stp>
        <tr r="B140" s="1"/>
      </tp>
      <tp t="b">
        <v>0</v>
        <stp/>
        <stp>BDP|6834823135237380567</stp>
        <tr r="F116" s="1"/>
      </tp>
      <tp t="b">
        <v>0</v>
        <stp/>
        <stp>BDP|4610358306658651085</stp>
        <tr r="F38" s="1"/>
      </tp>
      <tp t="b">
        <v>0</v>
        <stp/>
        <stp>BDP|8270650418795187558</stp>
        <tr r="C54" s="1"/>
      </tp>
      <tp t="b">
        <v>0</v>
        <stp/>
        <stp>BDP|8026248512256926278</stp>
        <tr r="C88" s="1"/>
      </tp>
      <tp t="b">
        <v>0</v>
        <stp/>
        <stp>BDP|2111202338425136917</stp>
        <tr r="C31" s="1"/>
      </tp>
      <tp t="b">
        <v>0</v>
        <stp/>
        <stp>BDP|4926694379579583335</stp>
        <tr r="H36" s="1"/>
      </tp>
      <tp t="b">
        <v>0</v>
        <stp/>
        <stp>BDP|7542534691694355086</stp>
        <tr r="E134" s="1"/>
        <tr r="E133" s="1"/>
        <tr r="E131" s="1"/>
        <tr r="E142" s="1"/>
        <tr r="E132" s="1"/>
        <tr r="E135" s="1"/>
        <tr r="E139" s="1"/>
        <tr r="E76" s="1"/>
        <tr r="E136" s="1"/>
        <tr r="E137" s="1"/>
        <tr r="E140" s="1"/>
        <tr r="E141" s="1"/>
        <tr r="E138" s="1"/>
        <tr r="E130" s="1"/>
      </tp>
      <tp t="b">
        <v>0</v>
        <stp/>
        <stp>BDP|8085559730545962416</stp>
        <tr r="C137" s="1"/>
      </tp>
      <tp t="b">
        <v>0</v>
        <stp/>
        <stp>BDP|7081019301410717870</stp>
        <tr r="I72" s="1"/>
      </tp>
      <tp t="b">
        <v>0</v>
        <stp/>
        <stp>BDP|1908116250953064996</stp>
        <tr r="F108" s="1"/>
      </tp>
      <tp t="b">
        <v>0</v>
        <stp/>
        <stp>BDP|4565950759203879400</stp>
        <tr r="E59" s="1"/>
      </tp>
      <tp t="b">
        <v>0</v>
        <stp/>
        <stp>BDP|5516996828531394015</stp>
        <tr r="E70" s="1"/>
      </tp>
      <tp t="b">
        <v>0</v>
        <stp/>
        <stp>BDP|5681148703719467234</stp>
        <tr r="I43" s="1"/>
      </tp>
      <tp t="b">
        <v>0</v>
        <stp/>
        <stp>BDP|6877738009399528718</stp>
        <tr r="F14" s="1"/>
      </tp>
      <tp t="b">
        <v>0</v>
        <stp/>
        <stp>BDP|8555086632277166381</stp>
        <tr r="E67" s="1"/>
        <tr r="E65" s="1"/>
      </tp>
      <tp t="b">
        <v>0</v>
        <stp/>
        <stp>BDP|3379320981235142263</stp>
        <tr r="C142" s="1"/>
      </tp>
      <tp t="b">
        <v>0</v>
        <stp/>
        <stp>BDP|4748658714089670547</stp>
        <tr r="C83" s="1"/>
      </tp>
      <tp t="b">
        <v>0</v>
        <stp/>
        <stp>BDP|6327359305383371956</stp>
        <tr r="F87" s="1"/>
      </tp>
      <tp t="b">
        <v>0</v>
        <stp/>
        <stp>BQL|5938975934634372364</stp>
        <tr r="B139" s="1"/>
      </tp>
      <tp t="b">
        <v>0</v>
        <stp/>
        <stp>BQL|3027340689259377994</stp>
        <tr r="D45" s="1"/>
      </tp>
      <tp t="b">
        <v>0</v>
        <stp/>
        <stp>BQL|1073454261892429975</stp>
        <tr r="B51" s="1"/>
      </tp>
      <tp t="b">
        <v>0</v>
        <stp/>
        <stp>BQL|9253100349195701196</stp>
        <tr r="D20" s="1"/>
      </tp>
      <tp t="b">
        <v>0</v>
        <stp/>
        <stp>BQL|5098087907419844421</stp>
        <tr r="D95" s="1"/>
      </tp>
      <tp t="b">
        <v>0</v>
        <stp/>
        <stp>BQL|3256373991293308230</stp>
        <tr r="B119" s="1"/>
      </tp>
      <tp t="b">
        <v>0</v>
        <stp/>
        <stp>BQL|6417532661624530906</stp>
        <tr r="D28" s="1"/>
      </tp>
      <tp t="b">
        <v>0</v>
        <stp/>
        <stp>BQL|8569718787946316935</stp>
        <tr r="B95" s="1"/>
      </tp>
      <tp t="b">
        <v>0</v>
        <stp/>
        <stp>BQL|7003865030725029152</stp>
        <tr r="D89" s="1"/>
      </tp>
      <tp t="b">
        <v>0</v>
        <stp/>
        <stp>BQL|2148122213432589866</stp>
        <tr r="B11" s="1"/>
      </tp>
      <tp t="b">
        <v>0</v>
        <stp/>
        <stp>BQL|8527867924479495317</stp>
        <tr r="B135" s="1"/>
      </tp>
      <tp t="b">
        <v>0</v>
        <stp/>
        <stp>BDP|6478127690772889442</stp>
        <tr r="C41" s="1"/>
      </tp>
      <tp t="b">
        <v>0</v>
        <stp/>
        <stp>BDP|9149395253211260634</stp>
        <tr r="F64" s="1"/>
      </tp>
      <tp t="b">
        <v>0</v>
        <stp/>
        <stp>BDP|4805273680652708433</stp>
        <tr r="H42" s="1"/>
      </tp>
      <tp t="b">
        <v>0</v>
        <stp/>
        <stp>BDP|9551353340831899706</stp>
        <tr r="G69" s="1"/>
      </tp>
      <tp t="b">
        <v>0</v>
        <stp/>
        <stp>BDP|4307295177909137054</stp>
        <tr r="C58" s="1"/>
      </tp>
      <tp t="b">
        <v>0</v>
        <stp/>
        <stp>BDP|5847807623473575471</stp>
        <tr r="H61" s="1"/>
      </tp>
      <tp t="b">
        <v>0</v>
        <stp/>
        <stp>BDP|1993624882530204750</stp>
        <tr r="E22" s="1"/>
      </tp>
      <tp t="b">
        <v>0</v>
        <stp/>
        <stp>BDP|9384395972322110770</stp>
        <tr r="C64" s="1"/>
      </tp>
      <tp t="b">
        <v>0</v>
        <stp/>
        <stp>BDP|8340830487063126385</stp>
        <tr r="F131" s="1"/>
        <tr r="F142" s="1"/>
        <tr r="F132" s="1"/>
        <tr r="F135" s="1"/>
        <tr r="F134" s="1"/>
        <tr r="F139" s="1"/>
        <tr r="F76" s="1"/>
        <tr r="F136" s="1"/>
        <tr r="F137" s="1"/>
        <tr r="F133" s="1"/>
        <tr r="F140" s="1"/>
        <tr r="F141" s="1"/>
        <tr r="F138" s="1"/>
        <tr r="F130" s="1"/>
      </tp>
      <tp t="b">
        <v>0</v>
        <stp/>
        <stp>BDP|5704928226255411387</stp>
        <tr r="F128" s="1"/>
      </tp>
      <tp t="b">
        <v>0</v>
        <stp/>
        <stp>BDP|6250089081796722005</stp>
        <tr r="H67" s="1"/>
        <tr r="H65" s="1"/>
      </tp>
      <tp t="b">
        <v>0</v>
        <stp/>
        <stp>BDP|2028622545070196847</stp>
        <tr r="C127" s="1"/>
      </tp>
      <tp t="b">
        <v>0</v>
        <stp/>
        <stp>BDP|9172634572472732252</stp>
        <tr r="C55" s="1"/>
      </tp>
      <tp t="b">
        <v>0</v>
        <stp/>
        <stp>BDP|6592497749296172877</stp>
        <tr r="E93" s="1"/>
      </tp>
      <tp t="b">
        <v>0</v>
        <stp/>
        <stp>BDP|6613643197077075664</stp>
        <tr r="C24" s="1"/>
      </tp>
      <tp t="b">
        <v>0</v>
        <stp/>
        <stp>BDP|8763101523606517526</stp>
        <tr r="C115" s="1"/>
      </tp>
      <tp t="b">
        <v>0</v>
        <stp/>
        <stp>BDP|8637947290471660146</stp>
        <tr r="F53" s="1"/>
      </tp>
      <tp t="b">
        <v>0</v>
        <stp/>
        <stp>BDP|2158862052975238278</stp>
        <tr r="C139" s="1"/>
      </tp>
      <tp t="b">
        <v>0</v>
        <stp/>
        <stp>BDP|9700178459890018581</stp>
        <tr r="F115" s="1"/>
      </tp>
      <tp t="b">
        <v>0</v>
        <stp/>
        <stp>BDP|2100100237721464937</stp>
        <tr r="H78" s="1"/>
      </tp>
      <tp t="b">
        <v>0</v>
        <stp/>
        <stp>BDP|8349215213953126068</stp>
        <tr r="F97" s="1"/>
      </tp>
      <tp t="b">
        <v>0</v>
        <stp/>
        <stp>BDP|4641186830716379894</stp>
        <tr r="H75" s="1"/>
      </tp>
      <tp t="b">
        <v>0</v>
        <stp/>
        <stp>BDP|4158000197233222614</stp>
        <tr r="E25" s="1"/>
      </tp>
      <tp t="b">
        <v>0</v>
        <stp/>
        <stp>BQL|9581089201740122025</stp>
        <tr r="B67" s="1"/>
      </tp>
      <tp t="b">
        <v>0</v>
        <stp/>
        <stp>BQL|4502419194199196985</stp>
        <tr r="B62" s="1"/>
      </tp>
      <tp t="b">
        <v>0</v>
        <stp/>
        <stp>BQL|5784435911791752856</stp>
        <tr r="D134" s="1"/>
      </tp>
      <tp t="b">
        <v>0</v>
        <stp/>
        <stp>BQL|3646689929557078920</stp>
        <tr r="D70" s="1"/>
      </tp>
      <tp t="b">
        <v>0</v>
        <stp/>
        <stp>BQL|6441328690646764358</stp>
        <tr r="D107" s="1"/>
      </tp>
      <tp t="b">
        <v>0</v>
        <stp/>
        <stp>BQL|7545381989223107664</stp>
        <tr r="D142" s="1"/>
      </tp>
      <tp t="b">
        <v>0</v>
        <stp/>
        <stp>BQL|4778469220328080310</stp>
        <tr r="D126" s="1"/>
      </tp>
      <tp t="b">
        <v>0</v>
        <stp/>
        <stp>BDP|2010538358082527946</stp>
        <tr r="F62" s="1"/>
      </tp>
      <tp t="b">
        <v>0</v>
        <stp/>
        <stp>BDP|5155373439084048857</stp>
        <tr r="G129" s="1"/>
      </tp>
      <tp t="b">
        <v>0</v>
        <stp/>
        <stp>BDP|9676255799532553956</stp>
        <tr r="E105" s="1"/>
      </tp>
      <tp t="b">
        <v>0</v>
        <stp/>
        <stp>BDP|3849577034879787546</stp>
        <tr r="C35" s="1"/>
      </tp>
      <tp t="b">
        <v>0</v>
        <stp/>
        <stp>BDP|6730288775138283260</stp>
        <tr r="G118" s="1"/>
      </tp>
      <tp t="b">
        <v>0</v>
        <stp/>
        <stp>BDP|9769829502399881111</stp>
        <tr r="C49" s="1"/>
      </tp>
      <tp t="b">
        <v>0</v>
        <stp/>
        <stp>BDP|8062564575071512286</stp>
        <tr r="C99" s="1"/>
      </tp>
      <tp t="b">
        <v>0</v>
        <stp/>
        <stp>BDP|8927412523305516205</stp>
        <tr r="F120" s="1"/>
      </tp>
      <tp t="b">
        <v>0</v>
        <stp/>
        <stp>BDP|4010856952797912706</stp>
        <tr r="C25" s="1"/>
      </tp>
      <tp t="b">
        <v>0</v>
        <stp/>
        <stp>BDP|9554093423034051614</stp>
        <tr r="I20" s="1"/>
      </tp>
      <tp t="b">
        <v>0</v>
        <stp/>
        <stp>BDP|7814248874082515927</stp>
        <tr r="F105" s="1"/>
      </tp>
      <tp t="b">
        <v>0</v>
        <stp/>
        <stp>BDP|7396573495305850752</stp>
        <tr r="H145" s="1"/>
      </tp>
      <tp t="b">
        <v>0</v>
        <stp/>
        <stp>BDP|1077513092717735398</stp>
        <tr r="C17" s="1"/>
      </tp>
      <tp t="b">
        <v>0</v>
        <stp/>
        <stp>BDP|3644622028236361823</stp>
        <tr r="G25" s="1"/>
      </tp>
      <tp t="b">
        <v>0</v>
        <stp/>
        <stp>BDP|6159861763473341256</stp>
        <tr r="E127" s="1"/>
      </tp>
      <tp t="b">
        <v>0</v>
        <stp/>
        <stp>BDP|9065968613791737913</stp>
        <tr r="H60" s="1"/>
      </tp>
      <tp t="b">
        <v>0</v>
        <stp/>
        <stp>BDP|4894406186535520480</stp>
        <tr r="I66" s="1"/>
      </tp>
      <tp t="b">
        <v>0</v>
        <stp/>
        <stp>BDP|3111650769512549889</stp>
        <tr r="C93" s="1"/>
      </tp>
      <tp t="b">
        <v>0</v>
        <stp/>
        <stp>BDP|6187968864794706440</stp>
        <tr r="I44" s="1"/>
      </tp>
      <tp t="b">
        <v>0</v>
        <stp/>
        <stp>BDP|6799423556286136836</stp>
        <tr r="F67" s="1"/>
        <tr r="F65" s="1"/>
      </tp>
      <tp t="b">
        <v>0</v>
        <stp/>
        <stp>BDP|3479800337101234066</stp>
        <tr r="G102" s="1"/>
      </tp>
      <tp t="b">
        <v>0</v>
        <stp/>
        <stp>BDP|8852380360845363175</stp>
        <tr r="E73" s="1"/>
      </tp>
      <tp t="b">
        <v>0</v>
        <stp/>
        <stp>BDP|9351949433282674868</stp>
        <tr r="C8" s="1"/>
      </tp>
      <tp t="b">
        <v>0</v>
        <stp/>
        <stp>BDP|2393131525618453040</stp>
        <tr r="F84" s="1"/>
      </tp>
      <tp t="b">
        <v>0</v>
        <stp/>
        <stp>BDP|8697056572191671725</stp>
        <tr r="G53" s="1"/>
      </tp>
      <tp t="b">
        <v>0</v>
        <stp/>
        <stp>BQL|3121797340038704274</stp>
        <tr r="D115" s="1"/>
      </tp>
      <tp t="b">
        <v>0</v>
        <stp/>
        <stp>BQL|6526416252495978879</stp>
        <tr r="D61" s="1"/>
      </tp>
      <tp t="b">
        <v>0</v>
        <stp/>
        <stp>BQL|4113125084061311630</stp>
        <tr r="B31" s="1"/>
      </tp>
      <tp t="b">
        <v>0</v>
        <stp/>
        <stp>BQL|1843416141208612390</stp>
        <tr r="B106" s="1"/>
      </tp>
      <tp t="b">
        <v>0</v>
        <stp/>
        <stp>BQL|6184653980973872193</stp>
        <tr r="D23" s="1"/>
      </tp>
      <tp t="b">
        <v>0</v>
        <stp/>
        <stp>BQL|3424068822712783952</stp>
        <tr r="D7" s="1"/>
      </tp>
      <tp t="b">
        <v>0</v>
        <stp/>
        <stp>BDP|3923959801939746900</stp>
        <tr r="F106" s="1"/>
      </tp>
      <tp t="b">
        <v>0</v>
        <stp/>
        <stp>BDP|4329119389000775778</stp>
        <tr r="E31" s="1"/>
      </tp>
      <tp t="b">
        <v>0</v>
        <stp/>
        <stp>BDP|6963421199531999025</stp>
        <tr r="F102" s="1"/>
      </tp>
      <tp t="b">
        <v>0</v>
        <stp/>
        <stp>BDP|6781961556117820730</stp>
        <tr r="F28" s="1"/>
      </tp>
      <tp t="b">
        <v>0</v>
        <stp/>
        <stp>BDP|6027727489736415525</stp>
        <tr r="E125" s="1"/>
      </tp>
      <tp t="b">
        <v>0</v>
        <stp/>
        <stp>BDP|3078368823560301847</stp>
        <tr r="F10" s="1"/>
      </tp>
      <tp t="b">
        <v>0</v>
        <stp/>
        <stp>BDP|9304261506947505648</stp>
        <tr r="C92" s="1"/>
      </tp>
      <tp t="b">
        <v>0</v>
        <stp/>
        <stp>BDP|9426502640502305044</stp>
        <tr r="E86" s="1"/>
      </tp>
      <tp t="b">
        <v>0</v>
        <stp/>
        <stp>BDP|4665743990465702561</stp>
        <tr r="C4" s="1"/>
      </tp>
      <tp t="b">
        <v>0</v>
        <stp/>
        <stp>BDP|3158215131820902887</stp>
        <tr r="C133" s="1"/>
      </tp>
      <tp t="b">
        <v>0</v>
        <stp/>
        <stp>BDP|3196087587927726680</stp>
        <tr r="G88" s="1"/>
      </tp>
      <tp t="b">
        <v>0</v>
        <stp/>
        <stp>BDP|6577603559779345695</stp>
        <tr r="C102" s="1"/>
      </tp>
      <tp t="b">
        <v>0</v>
        <stp/>
        <stp>BDP|4569441746869741771</stp>
        <tr r="G22" s="1"/>
      </tp>
      <tp t="b">
        <v>0</v>
        <stp/>
        <stp>BDP|9405545631417040260</stp>
        <tr r="C65" s="1"/>
      </tp>
      <tp t="b">
        <v>0</v>
        <stp/>
        <stp>BDP|8505640046084336413</stp>
        <tr r="E26" s="1"/>
      </tp>
      <tp t="b">
        <v>0</v>
        <stp/>
        <stp>BQL|1284974857920805659</stp>
        <tr r="D6" s="1"/>
      </tp>
      <tp t="b">
        <v>0</v>
        <stp/>
        <stp>BQL|6786893837351455739</stp>
        <tr r="D99" s="1"/>
      </tp>
      <tp t="b">
        <v>0</v>
        <stp/>
        <stp>BQL|6568967427775951306</stp>
        <tr r="D33" s="1"/>
      </tp>
      <tp t="b">
        <v>0</v>
        <stp/>
        <stp>BQL|5747891682226726876</stp>
        <tr r="B56" s="1"/>
      </tp>
      <tp t="b">
        <v>0</v>
        <stp/>
        <stp>BQL|4824095761041422887</stp>
        <tr r="D125" s="1"/>
      </tp>
      <tp t="b">
        <v>0</v>
        <stp/>
        <stp>BQL|3868125388012328374</stp>
        <tr r="B83" s="1"/>
      </tp>
      <tp t="b">
        <v>0</v>
        <stp/>
        <stp>BQL|5273023791506636110</stp>
        <tr r="D17" s="1"/>
      </tp>
      <tp t="b">
        <v>0</v>
        <stp/>
        <stp>BQL|4277969629631066591</stp>
        <tr r="B2" s="1"/>
      </tp>
      <tp t="b">
        <v>0</v>
        <stp/>
        <stp>BQL|3996886644672171670</stp>
        <tr r="B66" s="1"/>
      </tp>
      <tp t="b">
        <v>0</v>
        <stp/>
        <stp>BQL|6016655265809201417</stp>
        <tr r="B76" s="1"/>
      </tp>
      <tp t="b">
        <v>0</v>
        <stp/>
        <stp>BQL|6805964931713786494</stp>
        <tr r="D121" s="1"/>
      </tp>
      <tp t="b">
        <v>0</v>
        <stp/>
        <stp>BQL|5190948460914549516</stp>
        <tr r="B47" s="1"/>
      </tp>
      <tp t="b">
        <v>0</v>
        <stp/>
        <stp>BDP|8810515898708819739</stp>
        <tr r="G9" s="1"/>
      </tp>
      <tp t="b">
        <v>0</v>
        <stp/>
        <stp>BDP|6509003806599171498</stp>
        <tr r="H108" s="1"/>
      </tp>
      <tp t="b">
        <v>0</v>
        <stp/>
        <stp>BDP|5682233483356850259</stp>
        <tr r="C76" s="1"/>
      </tp>
      <tp t="b">
        <v>0</v>
        <stp/>
        <stp>BDP|4672189625349419574</stp>
        <tr r="F80" s="1"/>
      </tp>
      <tp t="b">
        <v>0</v>
        <stp/>
        <stp>BDP|1650722463402984965</stp>
        <tr r="G107" s="1"/>
      </tp>
      <tp t="b">
        <v>0</v>
        <stp/>
        <stp>BDP|3184851808670660034</stp>
        <tr r="C116" s="1"/>
      </tp>
      <tp t="b">
        <v>0</v>
        <stp/>
        <stp>BDP|2764288887840220345</stp>
        <tr r="E66" s="1"/>
      </tp>
      <tp t="b">
        <v>0</v>
        <stp/>
        <stp>BDP|7105420685446977613</stp>
        <tr r="C43" s="1"/>
      </tp>
      <tp t="b">
        <v>0</v>
        <stp/>
        <stp>BDP|7515942388005030874</stp>
        <tr r="F85" s="1"/>
      </tp>
      <tp t="b">
        <v>0</v>
        <stp/>
        <stp>BDP|8399550687829987776</stp>
        <tr r="G66" s="1"/>
      </tp>
      <tp t="b">
        <v>0</v>
        <stp/>
        <stp>BDP|7472279689587333168</stp>
        <tr r="C132" s="1"/>
      </tp>
      <tp t="b">
        <v>0</v>
        <stp/>
        <stp>BDP|4346166352842386981</stp>
        <tr r="E128" s="1"/>
      </tp>
      <tp t="b">
        <v>0</v>
        <stp/>
        <stp>BDP|6996451535479327371</stp>
        <tr r="F123" s="1"/>
      </tp>
      <tp t="b">
        <v>0</v>
        <stp/>
        <stp>BDP|6578953772612407143</stp>
        <tr r="G26" s="1"/>
      </tp>
      <tp t="b">
        <v>0</v>
        <stp/>
        <stp>BDP|9760274021772575066</stp>
        <tr r="C11" s="1"/>
      </tp>
      <tp t="b">
        <v>0</v>
        <stp/>
        <stp>BDP|7361327906899286668</stp>
        <tr r="H44" s="1"/>
      </tp>
      <tp t="b">
        <v>0</v>
        <stp/>
        <stp>BDP|4334294637198481696</stp>
        <tr r="C100" s="1"/>
      </tp>
      <tp t="b">
        <v>0</v>
        <stp/>
        <stp>BDP|8505021161975635009</stp>
        <tr r="C85" s="1"/>
      </tp>
      <tp t="b">
        <v>0</v>
        <stp/>
        <stp>BDP|6949271689064606308</stp>
        <tr r="G51" s="1"/>
      </tp>
      <tp t="b">
        <v>0</v>
        <stp/>
        <stp>BDP|8259251217647541748</stp>
        <tr r="F45" s="1"/>
      </tp>
      <tp t="b">
        <v>0</v>
        <stp/>
        <stp>BDP|6409195148278284005</stp>
        <tr r="I42" s="1"/>
      </tp>
      <tp t="b">
        <v>0</v>
        <stp/>
        <stp>BDP|7767564275627269914</stp>
        <tr r="E42" s="1"/>
      </tp>
      <tp t="b">
        <v>0</v>
        <stp/>
        <stp>BQL|6079385770501679711</stp>
        <tr r="D66" s="1"/>
      </tp>
      <tp t="b">
        <v>0</v>
        <stp/>
        <stp>BQL|3652782227591345332</stp>
        <tr r="B6" s="1"/>
      </tp>
      <tp t="b">
        <v>0</v>
        <stp/>
        <stp>BQL|5039326372562917701</stp>
        <tr r="B137" s="1"/>
      </tp>
      <tp t="b">
        <v>0</v>
        <stp/>
        <stp>BQL|2398783771532545485</stp>
        <tr r="D56" s="1"/>
      </tp>
      <tp t="b">
        <v>0</v>
        <stp/>
        <stp>BQL|7862703664471181380</stp>
        <tr r="D136" s="1"/>
      </tp>
      <tp t="b">
        <v>0</v>
        <stp/>
        <stp>BQL|7506897402479394297</stp>
        <tr r="D86" s="1"/>
      </tp>
      <tp t="b">
        <v>0</v>
        <stp/>
        <stp>BQL|9364653039141861943</stp>
        <tr r="D112" s="1"/>
      </tp>
      <tp t="b">
        <v>0</v>
        <stp/>
        <stp>BQL|7502876454156695826</stp>
        <tr r="B131" s="1"/>
      </tp>
      <tp t="b">
        <v>0</v>
        <stp/>
        <stp>BDP|1628473616449511987</stp>
        <tr r="E40" s="1"/>
      </tp>
      <tp t="b">
        <v>0</v>
        <stp/>
        <stp>BDP|3708072863498001991</stp>
        <tr r="H46" s="1"/>
      </tp>
      <tp t="b">
        <v>0</v>
        <stp/>
        <stp>BDP|6913231251072304705</stp>
        <tr r="G24" s="1"/>
        <tr r="G23" s="1"/>
      </tp>
      <tp t="b">
        <v>0</v>
        <stp/>
        <stp>BDP|4127879430553623895</stp>
        <tr r="E115" s="1"/>
      </tp>
      <tp t="b">
        <v>0</v>
        <stp/>
        <stp>BDP|3976346780909363576</stp>
        <tr r="C91" s="1"/>
      </tp>
      <tp t="b">
        <v>0</v>
        <stp/>
        <stp>BDP|8877441736313318879</stp>
        <tr r="C136" s="1"/>
      </tp>
      <tp t="b">
        <v>0</v>
        <stp/>
        <stp>BDP|9895251363979317029</stp>
        <tr r="E12" s="1"/>
      </tp>
      <tp t="b">
        <v>0</v>
        <stp/>
        <stp>BDP|8365974704961867471</stp>
        <tr r="F93" s="1"/>
      </tp>
      <tp t="b">
        <v>0</v>
        <stp/>
        <stp>BDP|7855472461358588940</stp>
        <tr r="C72" s="1"/>
      </tp>
      <tp t="b">
        <v>0</v>
        <stp/>
        <stp>BDP|7425158748236289072</stp>
        <tr r="E108" s="1"/>
      </tp>
      <tp t="b">
        <v>0</v>
        <stp/>
        <stp>BDP|1910874652639130103</stp>
        <tr r="F29" s="1"/>
      </tp>
      <tp t="b">
        <v>0</v>
        <stp/>
        <stp>BDP|9376017597691183575</stp>
        <tr r="E95" s="1"/>
      </tp>
      <tp t="b">
        <v>0</v>
        <stp/>
        <stp>BDP|5548495928301463635</stp>
        <tr r="F63" s="1"/>
      </tp>
      <tp t="b">
        <v>0</v>
        <stp/>
        <stp>BDP|6508901921060403937</stp>
        <tr r="C121" s="1"/>
      </tp>
      <tp t="b">
        <v>0</v>
        <stp/>
        <stp>BDP|8942985060870130303</stp>
        <tr r="E44" s="1"/>
      </tp>
      <tp t="b">
        <v>0</v>
        <stp/>
        <stp>BDP|8461070466382560801</stp>
        <tr r="C125" s="1"/>
      </tp>
      <tp t="b">
        <v>0</v>
        <stp/>
        <stp>BDP|5340968301300312879</stp>
        <tr r="H71" s="1"/>
      </tp>
      <tp t="b">
        <v>0</v>
        <stp/>
        <stp>BDP|1702146272557919498</stp>
        <tr r="G14" s="1"/>
      </tp>
      <tp t="b">
        <v>0</v>
        <stp/>
        <stp>BDP|2375393522805558293</stp>
        <tr r="G105" s="1"/>
      </tp>
      <tp t="b">
        <v>0</v>
        <stp/>
        <stp>BDP|1247972612174780957</stp>
        <tr r="F27" s="1"/>
      </tp>
      <tp t="b">
        <v>0</v>
        <stp/>
        <stp>BDP|6639268554396348323</stp>
        <tr r="C94" s="1"/>
      </tp>
      <tp t="b">
        <v>0</v>
        <stp/>
        <stp>BQL|3375109261781401099</stp>
        <tr r="B9" s="1"/>
      </tp>
      <tp t="b">
        <v>0</v>
        <stp/>
        <stp>BQL|3435394761644307716</stp>
        <tr r="D64" s="1"/>
      </tp>
      <tp t="b">
        <v>0</v>
        <stp/>
        <stp>BQL|2658815819129351732</stp>
        <tr r="B100" s="1"/>
      </tp>
      <tp t="b">
        <v>0</v>
        <stp/>
        <stp>BQL|1307726214806166483</stp>
        <tr r="B124" s="1"/>
      </tp>
      <tp t="b">
        <v>0</v>
        <stp/>
        <stp>BQL|9748435807651158989</stp>
        <tr r="B33" s="1"/>
      </tp>
      <tp t="b">
        <v>0</v>
        <stp/>
        <stp>BQL|1363028479517463459</stp>
        <tr r="B24" s="1"/>
      </tp>
      <tp t="b">
        <v>0</v>
        <stp/>
        <stp>BQL|8498995314346677364</stp>
        <tr r="B98" s="1"/>
      </tp>
      <tp t="b">
        <v>0</v>
        <stp/>
        <stp>BQL|4401081105937176601</stp>
        <tr r="B121" s="1"/>
      </tp>
      <tp t="b">
        <v>0</v>
        <stp/>
        <stp>BQL|3337957855743620904</stp>
        <tr r="B126" s="1"/>
      </tp>
      <tp t="b">
        <v>0</v>
        <stp/>
        <stp>BQL|7115555189117824842</stp>
        <tr r="B15" s="1"/>
      </tp>
      <tp t="b">
        <v>0</v>
        <stp/>
        <stp>BDP|5903464862231163365</stp>
        <tr r="C84" s="1"/>
      </tp>
      <tp t="b">
        <v>0</v>
        <stp/>
        <stp>BDP|6263416097928961665</stp>
        <tr r="C77" s="1"/>
      </tp>
      <tp t="b">
        <v>0</v>
        <stp/>
        <stp>BDP|7821730220990691768</stp>
        <tr r="C15" s="1"/>
      </tp>
      <tp t="b">
        <v>0</v>
        <stp/>
        <stp>BDP|3501468718326601568</stp>
        <tr r="E87" s="1"/>
      </tp>
      <tp t="b">
        <v>0</v>
        <stp/>
        <stp>BDP|2588994214316389900</stp>
        <tr r="E33" s="1"/>
      </tp>
      <tp t="b">
        <v>0</v>
        <stp/>
        <stp>BDP|2342477804706274595</stp>
        <tr r="G146" s="1"/>
      </tp>
      <tp t="b">
        <v>0</v>
        <stp/>
        <stp>BDP|3910003762367678758</stp>
        <tr r="C128" s="1"/>
      </tp>
      <tp t="b">
        <v>0</v>
        <stp/>
        <stp>BDP|5149369548342143575</stp>
        <tr r="E143" s="1"/>
      </tp>
      <tp t="b">
        <v>0</v>
        <stp/>
        <stp>BDP|4123676069174516535</stp>
        <tr r="F73" s="1"/>
      </tp>
      <tp t="b">
        <v>0</v>
        <stp/>
        <stp>BDP|6338198404111294317</stp>
        <tr r="C104" s="1"/>
      </tp>
      <tp t="b">
        <v>0</v>
        <stp/>
        <stp>BDP|4538609245212072125</stp>
        <tr r="C12" s="1"/>
      </tp>
      <tp t="b">
        <v>0</v>
        <stp/>
        <stp>BDP|6630628920820015734</stp>
        <tr r="C13" s="1"/>
      </tp>
      <tp t="b">
        <v>0</v>
        <stp/>
        <stp>BDP|4613268930419503915</stp>
        <tr r="G73" s="1"/>
      </tp>
      <tp t="b">
        <v>0</v>
        <stp/>
        <stp>BDP|9737381316876496892</stp>
        <tr r="G8" s="1"/>
      </tp>
      <tp t="b">
        <v>0</v>
        <stp/>
        <stp>BDP|6501450587397174827</stp>
        <tr r="F143" s="1"/>
      </tp>
      <tp t="b">
        <v>0</v>
        <stp/>
        <stp>BDP|4483367119674924777</stp>
        <tr r="G54" s="1"/>
        <tr r="G55" s="1"/>
      </tp>
      <tp t="b">
        <v>0</v>
        <stp/>
        <stp>BDP|6203862550866951880</stp>
        <tr r="E121" s="1"/>
      </tp>
      <tp t="b">
        <v>0</v>
        <stp/>
        <stp>BQL|3725245848384151713</stp>
        <tr r="B26" s="1"/>
      </tp>
      <tp t="b">
        <v>0</v>
        <stp/>
        <stp>BQL|7557269461453007683</stp>
        <tr r="D54" s="1"/>
      </tp>
      <tp t="b">
        <v>0</v>
        <stp/>
        <stp>BQL|3496070333395584324</stp>
        <tr r="B114" s="1"/>
      </tp>
      <tp t="b">
        <v>0</v>
        <stp/>
        <stp>BQL|1625553126707209722</stp>
        <tr r="B113" s="1"/>
      </tp>
      <tp t="b">
        <v>0</v>
        <stp/>
        <stp>BQL|9904313217469244483</stp>
        <tr r="D138" s="1"/>
      </tp>
      <tp t="b">
        <v>0</v>
        <stp/>
        <stp>BQL|5709599967623976335</stp>
        <tr r="B3" s="1"/>
      </tp>
      <tp t="b">
        <v>0</v>
        <stp/>
        <stp>BDP|4884370661661797633</stp>
        <tr r="C71" s="1"/>
      </tp>
      <tp t="b">
        <v>0</v>
        <stp/>
        <stp>BDP|7138277956955298392</stp>
        <tr r="E19" s="1"/>
      </tp>
      <tp t="b">
        <v>0</v>
        <stp/>
        <stp>BDP|2823628822107940795</stp>
        <tr r="C118" s="1"/>
      </tp>
      <tp t="b">
        <v>0</v>
        <stp/>
        <stp>BDP|9804332137208542706</stp>
        <tr r="E83" s="1"/>
      </tp>
      <tp t="b">
        <v>0</v>
        <stp/>
        <stp>BDP|2859212573016063736</stp>
        <tr r="C59" s="1"/>
      </tp>
      <tp t="b">
        <v>0</v>
        <stp/>
        <stp>BDP|4618893738630844908</stp>
        <tr r="G31" s="1"/>
      </tp>
      <tp t="b">
        <v>0</v>
        <stp/>
        <stp>BDP|9790058084316059195</stp>
        <tr r="F3" s="1"/>
      </tp>
      <tp t="b">
        <v>0</v>
        <stp/>
        <stp>BDP|7950238041391314643</stp>
        <tr r="F95" s="1"/>
      </tp>
      <tp t="b">
        <v>0</v>
        <stp/>
        <stp>BDP|8724389861613495868</stp>
        <tr r="E16" s="1"/>
      </tp>
      <tp t="b">
        <v>0</v>
        <stp/>
        <stp>BDP|7497575039014316345</stp>
        <tr r="G112" s="1"/>
      </tp>
      <tp t="b">
        <v>0</v>
        <stp/>
        <stp>BDP|4942750510395789196</stp>
        <tr r="G127" s="1"/>
      </tp>
      <tp t="b">
        <v>0</v>
        <stp/>
        <stp>BDP|8320420584903434123</stp>
        <tr r="E110" s="1"/>
      </tp>
      <tp t="b">
        <v>0</v>
        <stp/>
        <stp>BDP|2420823682687066373</stp>
        <tr r="G35" s="1"/>
      </tp>
      <tp t="b">
        <v>0</v>
        <stp/>
        <stp>BDP|2468779594403915984</stp>
        <tr r="C9" s="1"/>
      </tp>
      <tp t="b">
        <v>0</v>
        <stp/>
        <stp>BDP|5926212254702351680</stp>
        <tr r="C129" s="1"/>
      </tp>
      <tp t="b">
        <v>0</v>
        <stp/>
        <stp>BDP|5887335269926097064</stp>
        <tr r="G83" s="1"/>
      </tp>
      <tp t="b">
        <v>0</v>
        <stp/>
        <stp>BDP|2956587263864099368</stp>
        <tr r="G27" s="1"/>
      </tp>
      <tp t="b">
        <v>0</v>
        <stp/>
        <stp>BDP|2544811491075572043</stp>
        <tr r="E8" s="1"/>
      </tp>
      <tp t="b">
        <v>0</v>
        <stp/>
        <stp>BDP|9072593954657911803</stp>
        <tr r="C134" s="1"/>
      </tp>
      <tp t="b">
        <v>0</v>
        <stp/>
        <stp>BQL|2870098918646764231</stp>
        <tr r="B118" s="1"/>
      </tp>
      <tp t="b">
        <v>0</v>
        <stp/>
        <stp>BQL|4075702927532955421</stp>
        <tr r="D25" s="1"/>
      </tp>
      <tp t="b">
        <v>0</v>
        <stp/>
        <stp>BQL|6389598459308963967</stp>
        <tr r="B108" s="1"/>
      </tp>
      <tp t="b">
        <v>0</v>
        <stp/>
        <stp>BQL|5875297876550918729</stp>
        <tr r="B49" s="1"/>
      </tp>
      <tp t="b">
        <v>0</v>
        <stp/>
        <stp>BQL|4840651555307688754</stp>
        <tr r="D127" s="1"/>
      </tp>
      <tp t="b">
        <v>0</v>
        <stp/>
        <stp>BQL|4835020013944687666</stp>
        <tr r="D62" s="1"/>
      </tp>
      <tp t="b">
        <v>0</v>
        <stp/>
        <stp>BQL|1837037002106810092</stp>
        <tr r="D129" s="1"/>
      </tp>
      <tp t="b">
        <v>0</v>
        <stp/>
        <stp>BQL|6326991608298738026</stp>
        <tr r="B125" s="1"/>
      </tp>
      <tp t="b">
        <v>0</v>
        <stp/>
        <stp>BQL|6399652555360466235</stp>
        <tr r="B17" s="1"/>
      </tp>
      <tp t="b">
        <v>0</v>
        <stp/>
        <stp>BQL|4378589061758934807</stp>
        <tr r="D47" s="1"/>
      </tp>
      <tp t="b">
        <v>0</v>
        <stp/>
        <stp>BQL|1295730688279966021</stp>
        <tr r="B54" s="1"/>
      </tp>
      <tp t="b">
        <v>0</v>
        <stp/>
        <stp>BQL|1022377755921783142</stp>
        <tr r="D79" s="1"/>
      </tp>
      <tp t="b">
        <v>0</v>
        <stp/>
        <stp>BQL|3195253824232582659</stp>
        <tr r="B58" s="1"/>
      </tp>
      <tp t="b">
        <v>0</v>
        <stp/>
        <stp>BDP|8962747562809579711</stp>
        <tr r="G43" s="1"/>
      </tp>
      <tp t="b">
        <v>0</v>
        <stp/>
        <stp>BDP|6394386773410107529</stp>
        <tr r="F54" s="1"/>
        <tr r="F55" s="1"/>
      </tp>
      <tp t="b">
        <v>0</v>
        <stp/>
        <stp>BDP|5306150253983786596</stp>
        <tr r="E4" s="1"/>
      </tp>
      <tp t="b">
        <v>0</v>
        <stp/>
        <stp>BDP|5171393367795768210</stp>
        <tr r="E51" s="1"/>
      </tp>
      <tp t="b">
        <v>0</v>
        <stp/>
        <stp>BDP|1689295246463507337</stp>
        <tr r="F79" s="1"/>
      </tp>
      <tp t="b">
        <v>0</v>
        <stp/>
        <stp>BDP|7633197834902430009</stp>
        <tr r="C57" s="1"/>
      </tp>
      <tp t="b">
        <v>0</v>
        <stp/>
        <stp>BDP|7780522143167618603</stp>
        <tr r="C37" s="1"/>
      </tp>
      <tp t="b">
        <v>0</v>
        <stp/>
        <stp>BDP|7806972866416875970</stp>
        <tr r="E20" s="1"/>
      </tp>
      <tp t="b">
        <v>0</v>
        <stp/>
        <stp>BDP|9374645335968604329</stp>
        <tr r="F25" s="1"/>
      </tp>
      <tp t="b">
        <v>0</v>
        <stp/>
        <stp>BDP|5093929695524071637</stp>
        <tr r="E27" s="1"/>
      </tp>
      <tp t="b">
        <v>0</v>
        <stp/>
        <stp>BDP|3131473183321424942</stp>
        <tr r="E117" s="1"/>
      </tp>
      <tp t="b">
        <v>0</v>
        <stp/>
        <stp>BQL|9274087867868561740</stp>
        <tr r="D13" s="1"/>
      </tp>
      <tp t="b">
        <v>0</v>
        <stp/>
        <stp>BQL|5782994388840828449</stp>
        <tr r="D46" s="1"/>
      </tp>
      <tp t="b">
        <v>0</v>
        <stp/>
        <stp>BQL|9135475882857563240</stp>
        <tr r="D11" s="1"/>
      </tp>
      <tp t="b">
        <v>0</v>
        <stp/>
        <stp>BQL|7089541367755632114</stp>
        <tr r="D94" s="1"/>
      </tp>
      <tp t="b">
        <v>0</v>
        <stp/>
        <stp>BQL|3230273572803522524</stp>
        <tr r="B75" s="1"/>
      </tp>
      <tp t="b">
        <v>0</v>
        <stp/>
        <stp>BQL|4197712205420410315</stp>
        <tr r="D58" s="1"/>
      </tp>
      <tp t="b">
        <v>0</v>
        <stp/>
        <stp>BDP|8361772471938456091</stp>
        <tr r="F74" s="1"/>
      </tp>
      <tp t="b">
        <v>0</v>
        <stp/>
        <stp>BDP|5291082860024763754</stp>
        <tr r="E3" s="1"/>
      </tp>
      <tp t="b">
        <v>0</v>
        <stp/>
        <stp>BDP|1547288527749283800</stp>
        <tr r="E75" s="1"/>
      </tp>
      <tp t="b">
        <v>0</v>
        <stp/>
        <stp>BDP|5799210578658249822</stp>
        <tr r="G17" s="1"/>
      </tp>
      <tp t="b">
        <v>0</v>
        <stp/>
        <stp>BDP|1289635558070627215</stp>
        <tr r="G12" s="1"/>
      </tp>
      <tp t="b">
        <v>0</v>
        <stp/>
        <stp>BDP|7312137269379329944</stp>
        <tr r="F145" s="1"/>
      </tp>
      <tp t="b">
        <v>0</v>
        <stp/>
        <stp>BDP|4438455920802932079</stp>
        <tr r="E122" s="1"/>
      </tp>
      <tp t="b">
        <v>0</v>
        <stp/>
        <stp>BDP|3263749953627898627</stp>
        <tr r="E15" s="1"/>
      </tp>
      <tp t="b">
        <v>0</v>
        <stp/>
        <stp>BDP|4612412816256853745</stp>
        <tr r="H59" s="1"/>
      </tp>
      <tp t="b">
        <v>0</v>
        <stp/>
        <stp>BDP|5023572439221375205</stp>
        <tr r="F101" s="1"/>
      </tp>
      <tp t="b">
        <v>0</v>
        <stp/>
        <stp>BDP|7367151603577279157</stp>
        <tr r="C109" s="1"/>
      </tp>
      <tp t="b">
        <v>0</v>
        <stp/>
        <stp>BDP|3945941385094901629</stp>
        <tr r="C16" s="1"/>
      </tp>
      <tp t="b">
        <v>0</v>
        <stp/>
        <stp>BDP|1696095089868361160</stp>
        <tr r="H57" s="1"/>
        <tr r="H58" s="1"/>
      </tp>
      <tp t="b">
        <v>0</v>
        <stp/>
        <stp>BDP|4881848038317730834</stp>
        <tr r="E64" s="1"/>
      </tp>
      <tp t="b">
        <v>0</v>
        <stp/>
        <stp>BDP|2109489661876861661</stp>
        <tr r="E48" s="1"/>
      </tp>
      <tp t="b">
        <v>0</v>
        <stp/>
        <stp>BDP|8477917362847664067</stp>
        <tr r="F51" s="1"/>
      </tp>
      <tp t="b">
        <v>0</v>
        <stp/>
        <stp>BDP|6187059177138084975</stp>
        <tr r="E129" s="1"/>
      </tp>
      <tp t="b">
        <v>0</v>
        <stp/>
        <stp>BDP|9102879401212262311</stp>
        <tr r="F112" s="1"/>
      </tp>
      <tp t="b">
        <v>0</v>
        <stp/>
        <stp>BDP|2096464936435517018</stp>
        <tr r="F69" s="1"/>
      </tp>
      <tp t="b">
        <v>0</v>
        <stp/>
        <stp>BDP|2082741194315578918</stp>
        <tr r="G15" s="1"/>
      </tp>
      <tp t="b">
        <v>0</v>
        <stp/>
        <stp>BDP|5724924173282474964</stp>
        <tr r="G42" s="1"/>
      </tp>
      <tp t="b">
        <v>0</v>
        <stp/>
        <stp>BDP|5362508666630810680</stp>
        <tr r="C103" s="1"/>
      </tp>
      <tp t="b">
        <v>0</v>
        <stp/>
        <stp>BDP|2082444913055021221</stp>
        <tr r="G44" s="1"/>
      </tp>
      <tp t="b">
        <v>0</v>
        <stp/>
        <stp>BDP|8602352046908006705</stp>
        <tr r="E34" s="1"/>
      </tp>
      <tp t="b">
        <v>0</v>
        <stp/>
        <stp>BDP|1863432218871024569</stp>
        <tr r="F7" s="1"/>
      </tp>
      <tp t="b">
        <v>0</v>
        <stp/>
        <stp>BQL|42239252677465916</stp>
        <tr r="D24" s="1"/>
      </tp>
      <tp t="b">
        <v>0</v>
        <stp/>
        <stp>BQL|9434995312593415363</stp>
        <tr r="D73" s="1"/>
      </tp>
      <tp t="b">
        <v>0</v>
        <stp/>
        <stp>BQL|8980829962013077431</stp>
        <tr r="D49" s="1"/>
      </tp>
      <tp t="b">
        <v>0</v>
        <stp/>
        <stp>BQL|3478136139605428521</stp>
        <tr r="B32" s="1"/>
      </tp>
      <tp t="b">
        <v>0</v>
        <stp/>
        <stp>BQL|4026557814071991000</stp>
        <tr r="B79" s="1"/>
      </tp>
      <tp t="b">
        <v>0</v>
        <stp/>
        <stp>BQL|1952296391982436935</stp>
        <tr r="B105" s="1"/>
      </tp>
      <tp t="b">
        <v>0</v>
        <stp/>
        <stp>BQL|1940341429265263430</stp>
        <tr r="B20" s="1"/>
      </tp>
      <tp t="b">
        <v>0</v>
        <stp/>
        <stp>BQL|8291119352139648432</stp>
        <tr r="D69" s="1"/>
      </tp>
      <tp t="b">
        <v>0</v>
        <stp/>
        <stp>BQL|6840875001378937737</stp>
        <tr r="D14" s="1"/>
      </tp>
      <tp t="b">
        <v>0</v>
        <stp/>
        <stp>BQL|6681823200858659708</stp>
        <tr r="D10" s="1"/>
      </tp>
      <tp t="b">
        <v>0</v>
        <stp/>
        <stp>BQL|3339337834023297144</stp>
        <tr r="D108" s="1"/>
      </tp>
      <tp t="b">
        <v>0</v>
        <stp/>
        <stp>BDP|2682869753958807616</stp>
        <tr r="I32" s="1"/>
      </tp>
      <tp t="b">
        <v>0</v>
        <stp/>
        <stp>BDP|1108753968313152265</stp>
        <tr r="G30" s="1"/>
      </tp>
      <tp t="b">
        <v>0</v>
        <stp/>
        <stp>BDP|6167876199870491620</stp>
        <tr r="F89" s="1"/>
      </tp>
      <tp t="b">
        <v>0</v>
        <stp/>
        <stp>BDP|4330793933845730479</stp>
        <tr r="I52" s="1"/>
        <tr r="I49" s="1"/>
        <tr r="I50" s="1"/>
      </tp>
      <tp t="b">
        <v>0</v>
        <stp/>
        <stp>BDP|1944006252525005020</stp>
        <tr r="C20" s="1"/>
      </tp>
      <tp t="b">
        <v>0</v>
        <stp/>
        <stp>BDP|1508611566746996657</stp>
        <tr r="F16" s="1"/>
      </tp>
      <tp t="b">
        <v>0</v>
        <stp/>
        <stp>BDP|7140010141270822272</stp>
        <tr r="F88" s="1"/>
      </tp>
      <tp t="b">
        <v>0</v>
        <stp/>
        <stp>BDP|6926138134695916043</stp>
        <tr r="F119" s="1"/>
      </tp>
      <tp t="b">
        <v>0</v>
        <stp/>
        <stp>BDP|5499633301771118349</stp>
        <tr r="E30" s="1"/>
      </tp>
      <tp t="b">
        <v>0</v>
        <stp/>
        <stp>BDP|1675244732964071505</stp>
        <tr r="F125" s="1"/>
      </tp>
      <tp t="b">
        <v>0</v>
        <stp/>
        <stp>BDP|9229676542822996888</stp>
        <tr r="G119" s="1"/>
      </tp>
      <tp t="b">
        <v>0</v>
        <stp/>
        <stp>BDP|1868322349885244277</stp>
        <tr r="E18" s="1"/>
      </tp>
      <tp t="b">
        <v>0</v>
        <stp/>
        <stp>BDP|3702205864720695621</stp>
        <tr r="C117" s="1"/>
      </tp>
      <tp t="b">
        <v>0</v>
        <stp/>
        <stp>BDP|5906796079951643586</stp>
        <tr r="H146" s="1"/>
      </tp>
      <tp t="b">
        <v>0</v>
        <stp/>
        <stp>BDP|3953032459465752213</stp>
        <tr r="E74" s="1"/>
      </tp>
      <tp t="b">
        <v>0</v>
        <stp/>
        <stp>BQL|4809908687330015747</stp>
        <tr r="B96" s="1"/>
      </tp>
      <tp t="b">
        <v>0</v>
        <stp/>
        <stp>BQL|9635196583990319259</stp>
        <tr r="B61" s="1"/>
      </tp>
      <tp t="b">
        <v>0</v>
        <stp/>
        <stp>BQL|1699770245989629980</stp>
        <tr r="D31" s="1"/>
      </tp>
      <tp t="b">
        <v>0</v>
        <stp/>
        <stp>BQL|5510520963377589394</stp>
        <tr r="D53" s="1"/>
      </tp>
      <tp t="b">
        <v>0</v>
        <stp/>
        <stp>BQL|2591738672487722701</stp>
        <tr r="D90" s="1"/>
      </tp>
      <tp t="b">
        <v>0</v>
        <stp/>
        <stp>BQL|6825137570023836117</stp>
        <tr r="D102" s="1"/>
      </tp>
      <tp t="b">
        <v>0</v>
        <stp/>
        <stp>BQL|1800087506945252656</stp>
        <tr r="B8" s="1"/>
      </tp>
      <tp t="b">
        <v>0</v>
        <stp/>
        <stp>BQL|5317027678399992917</stp>
        <tr r="D42" s="1"/>
      </tp>
      <tp t="b">
        <v>0</v>
        <stp/>
        <stp>BDP|1583080670141653512</stp>
        <tr r="G41" s="1"/>
      </tp>
      <tp t="b">
        <v>0</v>
        <stp/>
        <stp>BDP|7082794531500541150</stp>
        <tr r="C51" s="1"/>
      </tp>
      <tp t="b">
        <v>0</v>
        <stp/>
        <stp>BDP|2992968635853534978</stp>
        <tr r="E94" s="1"/>
      </tp>
      <tp t="b">
        <v>0</v>
        <stp/>
        <stp>BDP|2509789796066147837</stp>
        <tr r="E54" s="1"/>
        <tr r="E55" s="1"/>
      </tp>
      <tp t="b">
        <v>0</v>
        <stp/>
        <stp>BDP|3675065719751003103</stp>
        <tr r="H68" s="1"/>
      </tp>
      <tp t="b">
        <v>0</v>
        <stp/>
        <stp>BDP|9366356918200644963</stp>
        <tr r="E47" s="1"/>
      </tp>
      <tp t="b">
        <v>0</v>
        <stp/>
        <stp>BDP|6270653345945470393</stp>
        <tr r="G60" s="1"/>
      </tp>
      <tp t="b">
        <v>0</v>
        <stp/>
        <stp>BDP|1270123809502377057</stp>
        <tr r="G20" s="1"/>
      </tp>
      <tp t="b">
        <v>0</v>
        <stp/>
        <stp>BDP|8754311796356879672</stp>
        <tr r="F24" s="1"/>
        <tr r="F23" s="1"/>
      </tp>
      <tp t="b">
        <v>0</v>
        <stp/>
        <stp>BDP|4676328417200662496</stp>
        <tr r="C36" s="1"/>
      </tp>
      <tp t="b">
        <v>0</v>
        <stp/>
        <stp>BDP|7985419254425552153</stp>
        <tr r="G64" s="1"/>
      </tp>
      <tp t="b">
        <v>0</v>
        <stp/>
        <stp>BDP|2913851795636402703</stp>
        <tr r="H45" s="1"/>
      </tp>
      <tp t="b">
        <v>0</v>
        <stp/>
        <stp>BDP|7189486473767897108</stp>
        <tr r="H48" s="1"/>
      </tp>
      <tp t="b">
        <v>0</v>
        <stp/>
        <stp>BDP|5681376939701990636</stp>
        <tr r="G120" s="1"/>
      </tp>
      <tp t="b">
        <v>0</v>
        <stp/>
        <stp>BDP|6416558442921420449</stp>
        <tr r="C81" s="1"/>
      </tp>
      <tp t="b">
        <v>0</v>
        <stp/>
        <stp>BDP|6181998986130569588</stp>
        <tr r="G96" s="1"/>
      </tp>
      <tp t="b">
        <v>0</v>
        <stp/>
        <stp>BDP|9424008911809667305</stp>
        <tr r="G103" s="1"/>
      </tp>
      <tp t="b">
        <v>0</v>
        <stp/>
        <stp>BDP|4041529768625311095</stp>
        <tr r="F124" s="1"/>
      </tp>
      <tp t="b">
        <v>0</v>
        <stp/>
        <stp>BDP|1463573422833169704</stp>
        <tr r="C32" s="1"/>
      </tp>
      <tp t="b">
        <v>0</v>
        <stp/>
        <stp>BDP|9100518382906328002</stp>
        <tr r="I63" s="1"/>
      </tp>
      <tp t="b">
        <v>0</v>
        <stp/>
        <stp>BDP|2038428423237970199</stp>
        <tr r="F121" s="1"/>
      </tp>
      <tp t="b">
        <v>0</v>
        <stp/>
        <stp>BDP|5785555256070149733</stp>
        <tr r="E41" s="1"/>
      </tp>
      <tp t="b">
        <v>0</v>
        <stp/>
        <stp>BDP|1860013719354358656</stp>
        <tr r="E98" s="1"/>
      </tp>
      <tp t="b">
        <v>0</v>
        <stp/>
        <stp>BDP|6122336825753755661</stp>
        <tr r="C114" s="1"/>
      </tp>
      <tp t="b">
        <v>0</v>
        <stp/>
        <stp>BDP|5269491439506494614</stp>
        <tr r="G84" s="1"/>
      </tp>
      <tp t="b">
        <v>0</v>
        <stp/>
        <stp>BDP|1418257083480169944</stp>
        <tr r="G82" s="1"/>
      </tp>
      <tp t="b">
        <v>0</v>
        <stp/>
        <stp>BQL|5924210122381156751</stp>
        <tr r="D119" s="1"/>
      </tp>
      <tp t="b">
        <v>0</v>
        <stp/>
        <stp>BQL|1778275997890887919</stp>
        <tr r="D57" s="1"/>
      </tp>
      <tp t="b">
        <v>0</v>
        <stp/>
        <stp>BQL|6473636328774626556</stp>
        <tr r="D59" s="1"/>
      </tp>
      <tp t="b">
        <v>0</v>
        <stp/>
        <stp>BQL|7021775278011101540</stp>
        <tr r="D63" s="1"/>
      </tp>
      <tp t="b">
        <v>0</v>
        <stp/>
        <stp>BQL|5849253436763018413</stp>
        <tr r="D9" s="1"/>
      </tp>
      <tp t="b">
        <v>0</v>
        <stp/>
        <stp>BQL|7105501003233066288</stp>
        <tr r="D67" s="1"/>
      </tp>
      <tp t="b">
        <v>0</v>
        <stp/>
        <stp>BQL|6050139417517908244</stp>
        <tr r="D140" s="1"/>
      </tp>
      <tp t="b">
        <v>0</v>
        <stp/>
        <stp>BQL|9976758145398100109</stp>
        <tr r="B27" s="1"/>
      </tp>
      <tp t="b">
        <v>0</v>
        <stp/>
        <stp>BQL|4203630355673102713</stp>
        <tr r="D110" s="1"/>
      </tp>
      <tp t="b">
        <v>0</v>
        <stp/>
        <stp>BQL|5124069277331687043</stp>
        <tr r="B112" s="1"/>
      </tp>
      <tp t="b">
        <v>0</v>
        <stp/>
        <stp>BQL|3286249955307787056</stp>
        <tr r="D87" s="1"/>
      </tp>
      <tp t="b">
        <v>0</v>
        <stp/>
        <stp>BQL|4770021726035753048</stp>
        <tr r="D91" s="1"/>
      </tp>
      <tp t="b">
        <v>0</v>
        <stp/>
        <stp>BDP|8967150563198559419</stp>
        <tr r="G13" s="1"/>
      </tp>
      <tp t="b">
        <v>0</v>
        <stp/>
        <stp>BDP|5634987204478162705</stp>
        <tr r="F113" s="1"/>
      </tp>
      <tp t="b">
        <v>0</v>
        <stp/>
        <stp>BDP|7932375817344645270</stp>
        <tr r="C63" s="1"/>
      </tp>
      <tp t="b">
        <v>0</v>
        <stp/>
        <stp>BDP|3872011590949444059</stp>
        <tr r="G33" s="1"/>
      </tp>
      <tp t="b">
        <v>0</v>
        <stp/>
        <stp>BDP|8613275775687819944</stp>
        <tr r="F48" s="1"/>
      </tp>
      <tp t="b">
        <v>0</v>
        <stp/>
        <stp>BDP|5653520430458287886</stp>
        <tr r="H41" s="1"/>
      </tp>
      <tp t="b">
        <v>0</v>
        <stp/>
        <stp>BDP|8185486664931567862</stp>
        <tr r="F107" s="1"/>
      </tp>
      <tp t="b">
        <v>0</v>
        <stp/>
        <stp>BDP|9321915529992301351</stp>
        <tr r="G59" s="1"/>
      </tp>
      <tp t="b">
        <v>0</v>
        <stp/>
        <stp>BDP|6215037315424716011</stp>
        <tr r="F99" s="1"/>
      </tp>
      <tp t="b">
        <v>0</v>
        <stp/>
        <stp>BDP|4256732206492162241</stp>
        <tr r="E62" s="1"/>
      </tp>
      <tp t="b">
        <v>0</v>
        <stp/>
        <stp>BDP|8539805521614322579</stp>
        <tr r="G85" s="1"/>
      </tp>
      <tp t="b">
        <v>0</v>
        <stp/>
        <stp>BDP|1540170555593429558</stp>
        <tr r="G126" s="1"/>
      </tp>
      <tp t="b">
        <v>0</v>
        <stp/>
        <stp>BDP|1129050001190021228</stp>
        <tr r="E61" s="1"/>
      </tp>
      <tp t="b">
        <v>0</v>
        <stp/>
        <stp>BDP|76861572014392161</stp>
        <tr r="G70" s="1"/>
      </tp>
    </main>
    <main first="bofaddin.rtdserver">
      <tp t="b">
        <v>0</v>
        <stp/>
        <stp>BDP|52775358057019933</stp>
        <tr r="C123" s="1"/>
      </tp>
      <tp t="b">
        <v>0</v>
        <stp/>
        <stp>BDP|18067070947962095</stp>
        <tr r="G67" s="1"/>
        <tr r="G65" s="1"/>
      </tp>
      <tp t="b">
        <v>0</v>
        <stp/>
        <stp>BDP|56049877997281337</stp>
        <tr r="E116" s="1"/>
      </tp>
      <tp t="b">
        <v>0</v>
        <stp/>
        <stp>BDP|53182235417711220</stp>
        <tr r="H74" s="1"/>
      </tp>
      <tp t="b">
        <v>0</v>
        <stp/>
        <stp>BDP|67516528004760595</stp>
        <tr r="E145" s="1"/>
      </tp>
      <tp t="b">
        <v>0</v>
        <stp/>
        <stp>BQL|629383148164105608</stp>
        <tr r="B78" s="1"/>
      </tp>
      <tp t="b">
        <v>0</v>
        <stp/>
        <stp>BDP|968481846766340207</stp>
        <tr r="G45" s="1"/>
      </tp>
      <tp t="b">
        <v>0</v>
        <stp/>
        <stp>BDP|597372906895817284</stp>
        <tr r="C6" s="1"/>
      </tp>
      <tp t="b">
        <v>0</v>
        <stp/>
        <stp>BDP|717873507498109439</stp>
        <tr r="F26" s="1"/>
      </tp>
      <tp t="b">
        <v>0</v>
        <stp/>
        <stp>BDP|207256857078648887</stp>
        <tr r="E35" s="1"/>
      </tp>
      <tp t="b">
        <v>0</v>
        <stp/>
        <stp>BDP|863766486698537062</stp>
        <tr r="F146" s="1"/>
      </tp>
      <tp t="b">
        <v>0</v>
        <stp/>
        <stp>BQL|532648914230285023</stp>
        <tr r="B14" s="1"/>
      </tp>
      <tp t="b">
        <v>0</v>
        <stp/>
        <stp>BDP|628139280337797905</stp>
        <tr r="C107" s="1"/>
      </tp>
      <tp t="b">
        <v>0</v>
        <stp/>
        <stp>BDP|824744656727037339</stp>
        <tr r="G125" s="1"/>
      </tp>
      <tp t="b">
        <v>0</v>
        <stp/>
        <stp>BDP|229964790226398025</stp>
        <tr r="F66" s="1"/>
      </tp>
      <tp t="b">
        <v>0</v>
        <stp/>
        <stp>BDP|258836992456671153</stp>
        <tr r="G61" s="1"/>
      </tp>
      <tp t="b">
        <v>0</v>
        <stp/>
        <stp>BDP|871523168951468444</stp>
        <tr r="F56" s="1"/>
      </tp>
      <tp t="b">
        <v>0</v>
        <stp/>
        <stp>BDP|752019299568495039</stp>
        <tr r="E17" s="1"/>
      </tp>
      <tp t="b">
        <v>0</v>
        <stp/>
        <stp>BDP|452869480384120548</stp>
        <tr r="C143" s="1"/>
      </tp>
      <tp t="b">
        <v>0</v>
        <stp/>
        <stp>BDP|143545260360596238</stp>
        <tr r="G90" s="1"/>
      </tp>
      <tp t="b">
        <v>0</v>
        <stp/>
        <stp>BDP|511628706162895461</stp>
        <tr r="C119" s="1"/>
      </tp>
      <tp t="b">
        <v>0</v>
        <stp/>
        <stp>BQL|421039329166339474</stp>
        <tr r="D71" s="1"/>
      </tp>
      <tp t="b">
        <v>0</v>
        <stp/>
        <stp>BDP|663800387905679559</stp>
        <tr r="E104" s="1"/>
      </tp>
      <tp t="b">
        <v>0</v>
        <stp/>
        <stp>BDP|545953691343504021</stp>
        <tr r="C52" s="1"/>
      </tp>
      <tp t="b">
        <v>0</v>
        <stp/>
        <stp>BDP|803756140538892851</stp>
        <tr r="E13" s="1"/>
      </tp>
      <tp t="b">
        <v>0</v>
        <stp/>
        <stp>BDP|756074173510967498</stp>
        <tr r="I123" s="1"/>
      </tp>
      <tp t="b">
        <v>0</v>
        <stp/>
        <stp>BDP|467736735827041168</stp>
        <tr r="F92" s="1"/>
      </tp>
      <tp t="b">
        <v>0</v>
        <stp/>
        <stp>BDP|821597303427340066</stp>
        <tr r="G81" s="1"/>
      </tp>
      <tp t="b">
        <v>0</v>
        <stp/>
        <stp>BDP|693113315547782553</stp>
        <tr r="C122" s="1"/>
      </tp>
      <tp t="b">
        <v>0</v>
        <stp/>
        <stp>BQL|407613371464888897</stp>
        <tr r="D88" s="1"/>
      </tp>
      <tp t="b">
        <v>0</v>
        <stp/>
        <stp>BQL|387787291380975285</stp>
        <tr r="B74" s="1"/>
      </tp>
      <tp t="b">
        <v>0</v>
        <stp/>
        <stp>BDP|252132662003397855</stp>
        <tr r="I46" s="1"/>
      </tp>
      <tp t="b">
        <v>0</v>
        <stp/>
        <stp>BQL|927964731650558525</stp>
        <tr r="D93" s="1"/>
      </tp>
      <tp t="b">
        <v>0</v>
        <stp/>
        <stp>BDP|695311106174255869</stp>
        <tr r="I57" s="1"/>
        <tr r="I58" s="1"/>
      </tp>
      <tp t="b">
        <v>0</v>
        <stp/>
        <stp>BDP|207183058018380332</stp>
        <tr r="E2" s="1"/>
      </tp>
      <tp t="b">
        <v>0</v>
        <stp/>
        <stp>BQL|121478848720619989</stp>
        <tr r="B90" s="1"/>
      </tp>
      <tp t="b">
        <v>0</v>
        <stp/>
        <stp>BQL|686510203939501461</stp>
        <tr r="B37" s="1"/>
      </tp>
      <tp t="b">
        <v>0</v>
        <stp/>
        <stp>BQL|574848871126213371</stp>
        <tr r="D13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313C-CBD4-46BE-B535-2FD8950987A2}">
  <dimension ref="A1:N146"/>
  <sheetViews>
    <sheetView topLeftCell="A118" workbookViewId="0">
      <selection activeCell="J144" sqref="J144"/>
    </sheetView>
  </sheetViews>
  <sheetFormatPr defaultRowHeight="15" x14ac:dyDescent="0.25"/>
  <cols>
    <col min="1" max="1" width="27" bestFit="1" customWidth="1"/>
    <col min="2" max="2" width="18.28515625" bestFit="1" customWidth="1"/>
    <col min="3" max="3" width="39.42578125" customWidth="1"/>
    <col min="5" max="6" width="48.28515625" bestFit="1" customWidth="1"/>
    <col min="7" max="7" width="48.28515625" customWidth="1"/>
    <col min="8" max="8" width="48.28515625" bestFit="1" customWidth="1"/>
    <col min="9" max="9" width="18.42578125" customWidth="1"/>
    <col min="11" max="11" width="27.42578125" bestFit="1" customWidth="1"/>
    <col min="12" max="12" width="6.42578125" customWidth="1"/>
    <col min="13" max="13" width="5.140625" customWidth="1"/>
    <col min="14" max="14" width="9.85546875" bestFit="1" customWidth="1"/>
  </cols>
  <sheetData>
    <row r="1" spans="1:12" x14ac:dyDescent="0.25">
      <c r="A1" t="s">
        <v>144</v>
      </c>
    </row>
    <row r="2" spans="1:12" x14ac:dyDescent="0.25">
      <c r="A2" t="s">
        <v>0</v>
      </c>
      <c r="B2" t="str" cm="1">
        <f t="array" ref="B2">_xll.BQL($A2&amp;" Equity", "BB_Default_Risk_Obligor_Ticker")</f>
        <v>ANDR AV Equity</v>
      </c>
      <c r="C2" t="str" cm="1">
        <f t="array" ref="C2">_xll.BDP($A2&amp;" Equity","Name")</f>
        <v>ANDRITZ AG</v>
      </c>
      <c r="D2" t="str" cm="1">
        <f t="array" ref="D2">_xll.BQL($A2, "Crncy")</f>
        <v>EUR</v>
      </c>
      <c r="E2" t="str" cm="1">
        <f t="array" ref="E2">_xll.BDP($B2,"ex028")</f>
        <v>Equity</v>
      </c>
      <c r="F2" t="str" cm="1">
        <f t="array" ref="F2">_xll.BDP($B2,"Security_Typ")</f>
        <v>Common Stock</v>
      </c>
      <c r="G2" t="str" cm="1">
        <f t="array" ref="G2">_xll.BDP($B2,"Gics_Sector_Name")</f>
        <v>Industrials</v>
      </c>
      <c r="H2" t="str" cm="1">
        <f t="array" ref="H2">IF(OR(F2="ETP",F2="Open-End Fund"),_xll.BDP($B2,"FD121"),"")</f>
        <v/>
      </c>
      <c r="I2" t="str" cm="1">
        <f t="array" ref="I2">IF(OR(F2="ETP",F2="Open-End Fund"),_xll.BDP($B2,"Fund_Objective_Long"),"")</f>
        <v/>
      </c>
      <c r="K2" t="str">
        <f>PROPER(C2)</f>
        <v>Andritz Ag</v>
      </c>
    </row>
    <row r="3" spans="1:12" x14ac:dyDescent="0.25">
      <c r="A3" t="s">
        <v>1</v>
      </c>
      <c r="B3" t="str" cm="1">
        <f t="array" ref="B3">_xll.BQL($A3&amp;" Equity", "BB_Default_Risk_Obligor_Ticker")</f>
        <v>OMV AV Equity</v>
      </c>
      <c r="C3" t="str" cm="1">
        <f t="array" ref="C3">_xll.BDP($A3&amp;" Equity","Name")</f>
        <v>OMV AG</v>
      </c>
      <c r="D3" t="str" cm="1">
        <f t="array" ref="D3">_xll.BQL($A3, "Crncy")</f>
        <v>EUR</v>
      </c>
      <c r="E3" t="str" cm="1">
        <f t="array" ref="E3">_xll.BDP(B3,"ex028")</f>
        <v>Equity</v>
      </c>
      <c r="F3" t="str" cm="1">
        <f t="array" ref="F3">_xll.BDP($B3,"Security_Typ")</f>
        <v>Common Stock</v>
      </c>
      <c r="G3" t="str" cm="1">
        <f t="array" ref="G3">_xll.BDP($B3,"Gics_Sector_Name")</f>
        <v>Energy</v>
      </c>
      <c r="H3" t="str" cm="1">
        <f t="array" ref="H3">IF(OR(F3="ETP",F3="Open-End Fund"),_xll.BDP($B3,"FD121"),"")</f>
        <v/>
      </c>
      <c r="I3" t="str" cm="1">
        <f t="array" ref="I3">IF(OR(F3="ETP",F3="Open-End Fund"),_xll.BDP($B3,"Fund_Objective_Long"),"")</f>
        <v/>
      </c>
      <c r="K3" t="str">
        <f>PROPER(C3)</f>
        <v>Omv Ag</v>
      </c>
    </row>
    <row r="4" spans="1:12" x14ac:dyDescent="0.25">
      <c r="A4" s="1" t="s">
        <v>2</v>
      </c>
      <c r="B4" s="1"/>
      <c r="C4" s="1" t="str" cm="1">
        <f t="array" ref="C4">_xll.BDP($B4,"Name")</f>
        <v>#N/A Mandatory parameter [SECURITY] cannot be empty</v>
      </c>
      <c r="D4" s="1" t="str" cm="1">
        <f t="array" ref="D4">_xll.BQL($B4, "Crncy")</f>
        <v>#N/A Mandatory parameter [SECURITY] cannot be empty</v>
      </c>
      <c r="E4" t="str" cm="1">
        <f t="array" ref="E4">_xll.BDP(B4,"ex028")</f>
        <v>#N/A Mandatory parameter [SECURITY] cannot be empty</v>
      </c>
      <c r="F4" t="str" cm="1">
        <f t="array" ref="F4">_xll.BDP($B4,"Security_Typ")</f>
        <v>#N/A Mandatory parameter [SECURITY] cannot be empty</v>
      </c>
      <c r="G4" t="str" cm="1">
        <f t="array" ref="G4">_xll.BDP($B4,"Gics_Sector_Name")</f>
        <v>#N/A Mandatory parameter [SECURITY] cannot be empty</v>
      </c>
      <c r="H4" t="str" cm="1">
        <f t="array" ref="H4">IF(OR(F4="ETP",F4="Open-End Fund"),_xll.BDP($B4,"FD121"),"")</f>
        <v/>
      </c>
      <c r="I4" t="str" cm="1">
        <f t="array" ref="I4">IF(OR(F4="ETP",F4="Open-End Fund"),_xll.BDP($B4,"Fund_Objective_Long"),"")</f>
        <v/>
      </c>
      <c r="J4" s="1"/>
      <c r="K4" s="1" t="s">
        <v>145</v>
      </c>
      <c r="L4" s="1" t="s">
        <v>146</v>
      </c>
    </row>
    <row r="5" spans="1:12" x14ac:dyDescent="0.25">
      <c r="A5" t="s">
        <v>3</v>
      </c>
      <c r="B5" t="str" cm="1">
        <f t="array" ref="B5">_xll.BQL($A5&amp;" Equity", "BB_Default_Risk_Obligor_Ticker")</f>
        <v>NOVN SW Equity</v>
      </c>
      <c r="C5" t="str" cm="1">
        <f t="array" ref="C5">_xll.BDP($A5&amp;" Equity","Name")</f>
        <v>NOVARTIS AG-REG</v>
      </c>
      <c r="D5" t="str" cm="1">
        <f t="array" ref="D5">_xll.BQL($A5, "Crncy")</f>
        <v>CHF</v>
      </c>
      <c r="E5" t="str" cm="1">
        <f t="array" ref="E5">_xll.BDP(B5,"ex028")</f>
        <v>Equity</v>
      </c>
      <c r="F5" t="str" cm="1">
        <f t="array" ref="F5">_xll.BDP($B5,"Security_Typ")</f>
        <v>Common Stock</v>
      </c>
      <c r="G5" t="str" cm="1">
        <f t="array" ref="G5">_xll.BDP($B5,"Gics_Sector_Name")</f>
        <v>Health Care</v>
      </c>
      <c r="H5" t="str" cm="1">
        <f t="array" ref="H5">IF(OR(F5="ETP",F5="Open-End Fund"),_xll.BDP($B5,"FD121"),"")</f>
        <v/>
      </c>
      <c r="I5" t="str" cm="1">
        <f t="array" ref="I5">IF(OR(F5="ETP",F5="Open-End Fund"),_xll.BDP($B5,"Fund_Objective_Long"),"")</f>
        <v/>
      </c>
      <c r="K5" t="str">
        <f t="shared" ref="K5:K68" si="0">PROPER(C5)</f>
        <v>Novartis Ag-Reg</v>
      </c>
    </row>
    <row r="6" spans="1:12" x14ac:dyDescent="0.25">
      <c r="A6" t="s">
        <v>4</v>
      </c>
      <c r="B6" t="str" cm="1">
        <f t="array" ref="B6">_xll.BQL($A6&amp;" Equity", "BB_Default_Risk_Obligor_Ticker")</f>
        <v>ROG SW Equity</v>
      </c>
      <c r="C6" t="str" cm="1">
        <f t="array" ref="C6">_xll.BDP($A6&amp;" Equity","Name")</f>
        <v>ROCHE HOLDING AG-GENUSSCHEIN</v>
      </c>
      <c r="D6" t="str" cm="1">
        <f t="array" ref="D6">_xll.BQL($A6, "Crncy")</f>
        <v>CHF</v>
      </c>
      <c r="E6" t="str" cm="1">
        <f t="array" ref="E6">_xll.BDP(B6,"ex028")</f>
        <v>Equity</v>
      </c>
      <c r="F6" t="str" cm="1">
        <f t="array" ref="F6">_xll.BDP($B6,"Security_Typ")</f>
        <v>Common Stock</v>
      </c>
      <c r="G6" t="str" cm="1">
        <f t="array" ref="G6">_xll.BDP($B6,"Gics_Sector_Name")</f>
        <v>Health Care</v>
      </c>
      <c r="H6" t="str" cm="1">
        <f t="array" ref="H6">IF(OR(F6="ETP",F6="Open-End Fund"),_xll.BDP($B6,"FD121"),"")</f>
        <v/>
      </c>
      <c r="I6" t="str" cm="1">
        <f t="array" ref="I6">IF(OR(F6="ETP",F6="Open-End Fund"),_xll.BDP($B6,"Fund_Objective_Long"),"")</f>
        <v/>
      </c>
      <c r="K6" t="str">
        <f t="shared" si="0"/>
        <v>Roche Holding Ag-Genusschein</v>
      </c>
    </row>
    <row r="7" spans="1:12" x14ac:dyDescent="0.25">
      <c r="A7" t="s">
        <v>5</v>
      </c>
      <c r="B7" t="str" cm="1">
        <f t="array" ref="B7">_xll.BQL($A7&amp;" Equity", "BB_Default_Risk_Obligor_Ticker")</f>
        <v>CLN SW Equity</v>
      </c>
      <c r="C7" t="str" cm="1">
        <f t="array" ref="C7">_xll.BDP($A7&amp;" Equity","Name")</f>
        <v>CLARIANT AG-REG</v>
      </c>
      <c r="D7" t="str" cm="1">
        <f t="array" ref="D7">_xll.BQL($A7, "Crncy")</f>
        <v>CHF</v>
      </c>
      <c r="E7" t="str" cm="1">
        <f t="array" ref="E7">_xll.BDP(B7,"ex028")</f>
        <v>Equity</v>
      </c>
      <c r="F7" t="str" cm="1">
        <f t="array" ref="F7">_xll.BDP($B7,"Security_Typ")</f>
        <v>Common Stock</v>
      </c>
      <c r="G7" t="str" cm="1">
        <f t="array" ref="G7">_xll.BDP($B7,"Gics_Sector_Name")</f>
        <v>Materials</v>
      </c>
      <c r="H7" t="str" cm="1">
        <f t="array" ref="H7">IF(OR(F7="ETP",F7="Open-End Fund"),_xll.BDP($B7,"FD121"),"")</f>
        <v/>
      </c>
      <c r="I7" t="str" cm="1">
        <f t="array" ref="I7">IF(OR(F7="ETP",F7="Open-End Fund"),_xll.BDP($B7,"Fund_Objective_Long"),"")</f>
        <v/>
      </c>
      <c r="K7" t="str">
        <f t="shared" si="0"/>
        <v>Clariant Ag-Reg</v>
      </c>
    </row>
    <row r="8" spans="1:12" x14ac:dyDescent="0.25">
      <c r="A8" t="s">
        <v>6</v>
      </c>
      <c r="B8" t="str" cm="1">
        <f t="array" ref="B8">_xll.BQL($A8&amp;" Equity", "BB_Default_Risk_Obligor_Ticker")</f>
        <v>HOLN SW Equity</v>
      </c>
      <c r="C8" t="str" cm="1">
        <f t="array" ref="C8">_xll.BDP($A8&amp;" Equity","Name")</f>
        <v>HOLCIM LTD</v>
      </c>
      <c r="D8" t="str" cm="1">
        <f t="array" ref="D8">_xll.BQL($A8, "Crncy")</f>
        <v>CHF</v>
      </c>
      <c r="E8" t="str" cm="1">
        <f t="array" ref="E8">_xll.BDP(B8,"ex028")</f>
        <v>Equity</v>
      </c>
      <c r="F8" t="str" cm="1">
        <f t="array" ref="F8">_xll.BDP($B8,"Security_Typ")</f>
        <v>Common Stock</v>
      </c>
      <c r="G8" t="str" cm="1">
        <f t="array" ref="G8">_xll.BDP($B8,"Gics_Sector_Name")</f>
        <v>Materials</v>
      </c>
      <c r="H8" t="str" cm="1">
        <f t="array" ref="H8">IF(OR(F8="ETP",F8="Open-End Fund"),_xll.BDP($B8,"FD121"),"")</f>
        <v/>
      </c>
      <c r="I8" t="str" cm="1">
        <f t="array" ref="I8">IF(OR(F8="ETP",F8="Open-End Fund"),_xll.BDP($B8,"Fund_Objective_Long"),"")</f>
        <v/>
      </c>
      <c r="K8" t="str">
        <f t="shared" si="0"/>
        <v>Holcim Ltd</v>
      </c>
    </row>
    <row r="9" spans="1:12" x14ac:dyDescent="0.25">
      <c r="A9" t="s">
        <v>7</v>
      </c>
      <c r="B9" t="str" cm="1">
        <f t="array" ref="B9">_xll.BQL($A9&amp;" Equity", "BB_Default_Risk_Obligor_Ticker")</f>
        <v>ABBN SW Equity</v>
      </c>
      <c r="C9" t="str" cm="1">
        <f t="array" ref="C9">_xll.BDP($A9&amp;" Equity","Name")</f>
        <v>ABB LTD-REG</v>
      </c>
      <c r="D9" t="str" cm="1">
        <f t="array" ref="D9">_xll.BQL($A9, "Crncy")</f>
        <v>CHF</v>
      </c>
      <c r="E9" t="str" cm="1">
        <f t="array" ref="E9">_xll.BDP(B9,"ex028")</f>
        <v>Equity</v>
      </c>
      <c r="F9" t="str" cm="1">
        <f t="array" ref="F9">_xll.BDP($B9,"Security_Typ")</f>
        <v>Common Stock</v>
      </c>
      <c r="G9" t="str" cm="1">
        <f t="array" ref="G9">_xll.BDP($B9,"Gics_Sector_Name")</f>
        <v>Industrials</v>
      </c>
      <c r="H9" t="str" cm="1">
        <f t="array" ref="H9">IF(OR(F9="ETP",F9="Open-End Fund"),_xll.BDP($B9,"FD121"),"")</f>
        <v/>
      </c>
      <c r="I9" t="str" cm="1">
        <f t="array" ref="I9">IF(OR(F9="ETP",F9="Open-End Fund"),_xll.BDP($B9,"Fund_Objective_Long"),"")</f>
        <v/>
      </c>
      <c r="K9" t="str">
        <f t="shared" si="0"/>
        <v>Abb Ltd-Reg</v>
      </c>
    </row>
    <row r="10" spans="1:12" x14ac:dyDescent="0.25">
      <c r="A10" t="s">
        <v>8</v>
      </c>
      <c r="B10" t="str" cm="1">
        <f t="array" ref="B10">_xll.BQL($A10&amp;" Equity", "BB_Default_Risk_Obligor_Ticker")</f>
        <v>SOON SW Equity</v>
      </c>
      <c r="C10" t="str" cm="1">
        <f t="array" ref="C10">_xll.BDP($A10&amp;" Equity","Name")</f>
        <v>SONOVA HOLDING AG-REG</v>
      </c>
      <c r="D10" t="str" cm="1">
        <f t="array" ref="D10">_xll.BQL($A10, "Crncy")</f>
        <v>CHF</v>
      </c>
      <c r="E10" t="str" cm="1">
        <f t="array" ref="E10">_xll.BDP(B10,"ex028")</f>
        <v>Equity</v>
      </c>
      <c r="F10" t="str" cm="1">
        <f t="array" ref="F10">_xll.BDP($B10,"Security_Typ")</f>
        <v>Common Stock</v>
      </c>
      <c r="G10" t="str" cm="1">
        <f t="array" ref="G10">_xll.BDP($B10,"Gics_Sector_Name")</f>
        <v>Health Care</v>
      </c>
      <c r="H10" t="str" cm="1">
        <f t="array" ref="H10">IF(OR(F10="ETP",F10="Open-End Fund"),_xll.BDP($B10,"FD121"),"")</f>
        <v/>
      </c>
      <c r="I10" t="str" cm="1">
        <f t="array" ref="I10">IF(OR(F10="ETP",F10="Open-End Fund"),_xll.BDP($B10,"Fund_Objective_Long"),"")</f>
        <v/>
      </c>
      <c r="K10" t="str">
        <f t="shared" si="0"/>
        <v>Sonova Holding Ag-Reg</v>
      </c>
    </row>
    <row r="11" spans="1:12" x14ac:dyDescent="0.25">
      <c r="A11" t="s">
        <v>9</v>
      </c>
      <c r="B11" t="str" cm="1">
        <f t="array" ref="B11">_xll.BQL($A11&amp;" Equity", "BB_Default_Risk_Obligor_Ticker")</f>
        <v>LOGN SW Equity</v>
      </c>
      <c r="C11" t="str" cm="1">
        <f t="array" ref="C11">_xll.BDP($A11&amp;" Equity","Name")</f>
        <v>LOGITECH INTERNATIONAL-REG</v>
      </c>
      <c r="D11" t="str" cm="1">
        <f t="array" ref="D11">_xll.BQL($A11, "Crncy")</f>
        <v>CHF</v>
      </c>
      <c r="E11" t="str" cm="1">
        <f t="array" ref="E11">_xll.BDP(B11,"ex028")</f>
        <v>Equity</v>
      </c>
      <c r="F11" t="str" cm="1">
        <f t="array" ref="F11">_xll.BDP($B11,"Security_Typ")</f>
        <v>Common Stock</v>
      </c>
      <c r="G11" t="str" cm="1">
        <f t="array" ref="G11">_xll.BDP($B11,"Gics_Sector_Name")</f>
        <v>Information Technology</v>
      </c>
      <c r="H11" t="str" cm="1">
        <f t="array" ref="H11">IF(OR(F11="ETP",F11="Open-End Fund"),_xll.BDP($B11,"FD121"),"")</f>
        <v/>
      </c>
      <c r="I11" t="str" cm="1">
        <f t="array" ref="I11">IF(OR(F11="ETP",F11="Open-End Fund"),_xll.BDP($B11,"Fund_Objective_Long"),"")</f>
        <v/>
      </c>
      <c r="K11" t="str">
        <f t="shared" si="0"/>
        <v>Logitech International-Reg</v>
      </c>
    </row>
    <row r="12" spans="1:12" x14ac:dyDescent="0.25">
      <c r="A12" t="s">
        <v>10</v>
      </c>
      <c r="B12" t="str" cm="1">
        <f t="array" ref="B12">_xll.BQL($A12&amp;" Equity", "BB_Default_Risk_Obligor_Ticker")</f>
        <v>NESN SW Equity</v>
      </c>
      <c r="C12" t="str" cm="1">
        <f t="array" ref="C12">_xll.BDP($A12&amp;" Equity","Name")</f>
        <v>NESTLE SA-REG</v>
      </c>
      <c r="D12" t="str" cm="1">
        <f t="array" ref="D12">_xll.BQL($A12, "Crncy")</f>
        <v>CHF</v>
      </c>
      <c r="E12" t="str" cm="1">
        <f t="array" ref="E12">_xll.BDP(B12,"ex028")</f>
        <v>Equity</v>
      </c>
      <c r="F12" t="str" cm="1">
        <f t="array" ref="F12">_xll.BDP($B12,"Security_Typ")</f>
        <v>Common Stock</v>
      </c>
      <c r="G12" t="str" cm="1">
        <f t="array" ref="G12">_xll.BDP($B12,"Gics_Sector_Name")</f>
        <v>Consumer Staples</v>
      </c>
      <c r="H12" t="str" cm="1">
        <f t="array" ref="H12">IF(OR(F12="ETP",F12="Open-End Fund"),_xll.BDP($B12,"FD121"),"")</f>
        <v/>
      </c>
      <c r="I12" t="str" cm="1">
        <f t="array" ref="I12">IF(OR(F12="ETP",F12="Open-End Fund"),_xll.BDP($B12,"Fund_Objective_Long"),"")</f>
        <v/>
      </c>
      <c r="K12" t="str">
        <f t="shared" si="0"/>
        <v>Nestle Sa-Reg</v>
      </c>
    </row>
    <row r="13" spans="1:12" x14ac:dyDescent="0.25">
      <c r="A13" t="s">
        <v>11</v>
      </c>
      <c r="B13" t="str" cm="1">
        <f t="array" ref="B13">_xll.BQL($A13&amp;" Equity", "BB_Default_Risk_Obligor_Ticker")</f>
        <v>UBSG SW Equity</v>
      </c>
      <c r="C13" t="str" cm="1">
        <f t="array" ref="C13">_xll.BDP($A13&amp;" Equity","Name")</f>
        <v>UBS GROUP AG-REG</v>
      </c>
      <c r="D13" t="str" cm="1">
        <f t="array" ref="D13">_xll.BQL($A13, "Crncy")</f>
        <v>CHF</v>
      </c>
      <c r="E13" t="str" cm="1">
        <f t="array" ref="E13">_xll.BDP(B13,"ex028")</f>
        <v>Equity</v>
      </c>
      <c r="F13" t="str" cm="1">
        <f t="array" ref="F13">_xll.BDP($B13,"Security_Typ")</f>
        <v>Common Stock</v>
      </c>
      <c r="G13" t="str" cm="1">
        <f t="array" ref="G13">_xll.BDP($B13,"Gics_Sector_Name")</f>
        <v>Financials</v>
      </c>
      <c r="H13" t="str" cm="1">
        <f t="array" ref="H13">IF(OR(F13="ETP",F13="Open-End Fund"),_xll.BDP($B13,"FD121"),"")</f>
        <v/>
      </c>
      <c r="I13" t="str" cm="1">
        <f t="array" ref="I13">IF(OR(F13="ETP",F13="Open-End Fund"),_xll.BDP($B13,"Fund_Objective_Long"),"")</f>
        <v/>
      </c>
      <c r="K13" t="str">
        <f t="shared" si="0"/>
        <v>Ubs Group Ag-Reg</v>
      </c>
    </row>
    <row r="14" spans="1:12" x14ac:dyDescent="0.25">
      <c r="A14" t="s">
        <v>12</v>
      </c>
      <c r="B14" t="str" cm="1">
        <f t="array" ref="B14">_xll.BQL($A14&amp;" Equity", "BB_Default_Risk_Obligor_Ticker")</f>
        <v>VACN SW Equity</v>
      </c>
      <c r="C14" t="str" cm="1">
        <f t="array" ref="C14">_xll.BDP($A14&amp;" Equity","Name")</f>
        <v>VAT GROUP AG</v>
      </c>
      <c r="D14" t="str" cm="1">
        <f t="array" ref="D14">_xll.BQL($A14, "Crncy")</f>
        <v>CHF</v>
      </c>
      <c r="E14" t="str" cm="1">
        <f t="array" ref="E14">_xll.BDP(B14,"ex028")</f>
        <v>Equity</v>
      </c>
      <c r="F14" t="str" cm="1">
        <f t="array" ref="F14">_xll.BDP($B14,"Security_Typ")</f>
        <v>Common Stock</v>
      </c>
      <c r="G14" t="str" cm="1">
        <f t="array" ref="G14">_xll.BDP($B14,"Gics_Sector_Name")</f>
        <v>Industrials</v>
      </c>
      <c r="H14" t="str" cm="1">
        <f t="array" ref="H14">IF(OR(F14="ETP",F14="Open-End Fund"),_xll.BDP($B14,"FD121"),"")</f>
        <v/>
      </c>
      <c r="I14" t="str" cm="1">
        <f t="array" ref="I14">IF(OR(F14="ETP",F14="Open-End Fund"),_xll.BDP($B14,"Fund_Objective_Long"),"")</f>
        <v/>
      </c>
      <c r="K14" t="str">
        <f t="shared" si="0"/>
        <v>Vat Group Ag</v>
      </c>
    </row>
    <row r="15" spans="1:12" x14ac:dyDescent="0.25">
      <c r="A15" t="s">
        <v>13</v>
      </c>
      <c r="B15" t="str" cm="1">
        <f t="array" ref="B15">_xll.BQL($A15&amp;" Equity", "BB_Default_Risk_Obligor_Ticker")</f>
        <v>ALC SW Equity</v>
      </c>
      <c r="C15" t="str" cm="1">
        <f t="array" ref="C15">_xll.BDP($A15&amp;" Equity","Name")</f>
        <v>ALCON INC</v>
      </c>
      <c r="D15" t="str" cm="1">
        <f t="array" ref="D15">_xll.BQL($A15, "Crncy")</f>
        <v>CHF</v>
      </c>
      <c r="E15" t="str" cm="1">
        <f t="array" ref="E15">_xll.BDP(B15,"ex028")</f>
        <v>Equity</v>
      </c>
      <c r="F15" t="str" cm="1">
        <f t="array" ref="F15">_xll.BDP($B15,"Security_Typ")</f>
        <v>Common Stock</v>
      </c>
      <c r="G15" t="str" cm="1">
        <f t="array" ref="G15">_xll.BDP($B15,"Gics_Sector_Name")</f>
        <v>Health Care</v>
      </c>
      <c r="H15" t="str" cm="1">
        <f t="array" ref="H15">IF(OR(F15="ETP",F15="Open-End Fund"),_xll.BDP($B15,"FD121"),"")</f>
        <v/>
      </c>
      <c r="I15" t="str" cm="1">
        <f t="array" ref="I15">IF(OR(F15="ETP",F15="Open-End Fund"),_xll.BDP($B15,"Fund_Objective_Long"),"")</f>
        <v/>
      </c>
      <c r="K15" t="str">
        <f t="shared" si="0"/>
        <v>Alcon Inc</v>
      </c>
    </row>
    <row r="16" spans="1:12" x14ac:dyDescent="0.25">
      <c r="A16" t="s">
        <v>14</v>
      </c>
      <c r="B16" t="str" cm="1">
        <f t="array" ref="B16">_xll.BQL($A16&amp;" Equity", "BB_Default_Risk_Obligor_Ticker")</f>
        <v>AEVS SW Equity</v>
      </c>
      <c r="C16" t="str" cm="1">
        <f t="array" ref="C16">_xll.BDP($A16&amp;" Equity","Name")</f>
        <v>AEVIS VICTORIA SA</v>
      </c>
      <c r="D16" t="str" cm="1">
        <f t="array" ref="D16">_xll.BQL($A16, "Crncy")</f>
        <v>CHF</v>
      </c>
      <c r="E16" t="str" cm="1">
        <f t="array" ref="E16">_xll.BDP(B16,"ex028")</f>
        <v>Equity</v>
      </c>
      <c r="F16" t="str" cm="1">
        <f t="array" ref="F16">_xll.BDP($B16,"Security_Typ")</f>
        <v>Common Stock</v>
      </c>
      <c r="G16" t="str" cm="1">
        <f t="array" ref="G16">_xll.BDP($B16,"Gics_Sector_Name")</f>
        <v>Health Care</v>
      </c>
      <c r="H16" t="str" cm="1">
        <f t="array" ref="H16">IF(OR(F16="ETP",F16="Open-End Fund"),_xll.BDP($B16,"FD121"),"")</f>
        <v/>
      </c>
      <c r="I16" t="str" cm="1">
        <f t="array" ref="I16">IF(OR(F16="ETP",F16="Open-End Fund"),_xll.BDP($B16,"Fund_Objective_Long"),"")</f>
        <v/>
      </c>
      <c r="K16" t="str">
        <f t="shared" si="0"/>
        <v>Aevis Victoria Sa</v>
      </c>
    </row>
    <row r="17" spans="1:11" x14ac:dyDescent="0.25">
      <c r="A17" t="s">
        <v>15</v>
      </c>
      <c r="B17" t="str" cm="1">
        <f t="array" ref="B17">_xll.BQL($A17&amp;" Equity", "BB_Default_Risk_Obligor_Ticker")</f>
        <v>STMN SW Equity</v>
      </c>
      <c r="C17" t="str" cm="1">
        <f t="array" ref="C17">_xll.BDP($A17&amp;" Equity","Name")</f>
        <v>STRAUMANN HOLDING AG-REG</v>
      </c>
      <c r="D17" t="str" cm="1">
        <f t="array" ref="D17">_xll.BQL($A17, "Crncy")</f>
        <v>CHF</v>
      </c>
      <c r="E17" t="str" cm="1">
        <f t="array" ref="E17">_xll.BDP(B17,"ex028")</f>
        <v>Equity</v>
      </c>
      <c r="F17" t="str" cm="1">
        <f t="array" ref="F17">_xll.BDP($B17,"Security_Typ")</f>
        <v>Common Stock</v>
      </c>
      <c r="G17" t="str" cm="1">
        <f t="array" ref="G17">_xll.BDP($B17,"Gics_Sector_Name")</f>
        <v>Health Care</v>
      </c>
      <c r="H17" t="str" cm="1">
        <f t="array" ref="H17">IF(OR(F17="ETP",F17="Open-End Fund"),_xll.BDP($B17,"FD121"),"")</f>
        <v/>
      </c>
      <c r="I17" t="str" cm="1">
        <f t="array" ref="I17">IF(OR(F17="ETP",F17="Open-End Fund"),_xll.BDP($B17,"Fund_Objective_Long"),"")</f>
        <v/>
      </c>
      <c r="K17" t="str">
        <f t="shared" si="0"/>
        <v>Straumann Holding Ag-Reg</v>
      </c>
    </row>
    <row r="18" spans="1:11" x14ac:dyDescent="0.25">
      <c r="A18" t="s">
        <v>16</v>
      </c>
      <c r="B18" t="str" cm="1">
        <f t="array" ref="B18">_xll.BQL($A18&amp;" Equity", "BB_Default_Risk_Obligor_Ticker")</f>
        <v>MBG GR Equity</v>
      </c>
      <c r="C18" t="str" cm="1">
        <f t="array" ref="C18">_xll.BDP($A18&amp;" Equity","Name")</f>
        <v>MERCEDES-BENZ GROUP AG</v>
      </c>
      <c r="D18" t="str" cm="1">
        <f t="array" ref="D18">_xll.BQL($A18, "Crncy")</f>
        <v>EUR</v>
      </c>
      <c r="E18" t="str" cm="1">
        <f t="array" ref="E18">_xll.BDP(B18,"ex028")</f>
        <v>Equity</v>
      </c>
      <c r="F18" t="str" cm="1">
        <f t="array" ref="F18">_xll.BDP($B18,"Security_Typ")</f>
        <v>Common Stock</v>
      </c>
      <c r="G18" t="str" cm="1">
        <f t="array" ref="G18">_xll.BDP($B18,"Gics_Sector_Name")</f>
        <v>Consumer Discretionary</v>
      </c>
      <c r="H18" t="str" cm="1">
        <f t="array" ref="H18">IF(OR(F18="ETP",F18="Open-End Fund"),_xll.BDP($B18,"FD121"),"")</f>
        <v/>
      </c>
      <c r="I18" t="str" cm="1">
        <f t="array" ref="I18">IF(OR(F18="ETP",F18="Open-End Fund"),_xll.BDP($B18,"Fund_Objective_Long"),"")</f>
        <v/>
      </c>
      <c r="K18" t="str">
        <f t="shared" si="0"/>
        <v>Mercedes-Benz Group Ag</v>
      </c>
    </row>
    <row r="19" spans="1:11" x14ac:dyDescent="0.25">
      <c r="A19" t="s">
        <v>17</v>
      </c>
      <c r="B19" t="str" cm="1">
        <f t="array" ref="B19">_xll.BQL($A19&amp;" Equity", "BB_Default_Risk_Obligor_Ticker")</f>
        <v>VOW GR Equity</v>
      </c>
      <c r="C19" t="str" cm="1">
        <f t="array" ref="C19">_xll.BDP($A19&amp;" Equity","Name")</f>
        <v>VOLKSWAGEN AG-PREF</v>
      </c>
      <c r="D19" t="str" cm="1">
        <f t="array" ref="D19">_xll.BQL($A19, "Crncy")</f>
        <v>EUR</v>
      </c>
      <c r="E19" t="str" cm="1">
        <f t="array" ref="E19">_xll.BDP(B19,"ex028")</f>
        <v>Equity</v>
      </c>
      <c r="F19" t="str" cm="1">
        <f t="array" ref="F19">_xll.BDP($B19,"Security_Typ")</f>
        <v>Common Stock</v>
      </c>
      <c r="G19" t="str" cm="1">
        <f t="array" ref="G19">_xll.BDP($B19,"Gics_Sector_Name")</f>
        <v>Consumer Discretionary</v>
      </c>
      <c r="H19" t="str" cm="1">
        <f t="array" ref="H19">IF(OR(F19="ETP",F19="Open-End Fund"),_xll.BDP($B19,"FD121"),"")</f>
        <v/>
      </c>
      <c r="I19" t="str" cm="1">
        <f t="array" ref="I19">IF(OR(F19="ETP",F19="Open-End Fund"),_xll.BDP($B19,"Fund_Objective_Long"),"")</f>
        <v/>
      </c>
      <c r="K19" t="str">
        <f t="shared" si="0"/>
        <v>Volkswagen Ag-Pref</v>
      </c>
    </row>
    <row r="20" spans="1:11" x14ac:dyDescent="0.25">
      <c r="A20" t="s">
        <v>18</v>
      </c>
      <c r="B20" t="str" cm="1">
        <f t="array" ref="B20">_xll.BQL($A20&amp;" Equity", "BB_Default_Risk_Obligor_Ticker")</f>
        <v>4GLD GR Equity</v>
      </c>
      <c r="C20" t="str" cm="1">
        <f t="array" ref="C20">_xll.BDP($A20&amp;" Equity","Name")</f>
        <v>XETRA-GOLD</v>
      </c>
      <c r="D20" t="str" cm="1">
        <f t="array" ref="D20">_xll.BQL($A20, "Crncy")</f>
        <v>EUR</v>
      </c>
      <c r="E20" t="str" cm="1">
        <f t="array" ref="E20">_xll.BDP(B20,"ex028")</f>
        <v>Fund</v>
      </c>
      <c r="F20" t="str" cm="1">
        <f t="array" ref="F20">_xll.BDP($B20,"Security_Typ")</f>
        <v>ETP</v>
      </c>
      <c r="G20" t="str" cm="1">
        <f t="array" ref="G20">_xll.BDP($B20,"Gics_Sector_Name")</f>
        <v>#N/A N/A</v>
      </c>
      <c r="H20" t="str" cm="1">
        <f t="array" ref="H20">IF(OR(F20="ETP",F20="Open-End Fund"),_xll.BDP($B20,"FD121"),"")</f>
        <v>Commodity</v>
      </c>
      <c r="I20" t="str" cm="1">
        <f t="array" ref="I20">IF(OR(F20="ETP",F20="Open-End Fund"),_xll.BDP($B20,"Fund_Objective_Long"),"")</f>
        <v>Precious Metals</v>
      </c>
      <c r="K20" t="str">
        <f t="shared" si="0"/>
        <v>Xetra-Gold</v>
      </c>
    </row>
    <row r="21" spans="1:11" x14ac:dyDescent="0.25">
      <c r="A21" t="s">
        <v>19</v>
      </c>
      <c r="B21" t="str" cm="1">
        <f t="array" ref="B21">_xll.BQL($A21&amp;" Equity", "BB_Default_Risk_Obligor_Ticker")</f>
        <v>DTG GR Equity</v>
      </c>
      <c r="C21" t="str" cm="1">
        <f t="array" ref="C21">_xll.BDP($A21&amp;" Equity","Name")</f>
        <v>DAIMLER TRUCK HOLDING AG</v>
      </c>
      <c r="D21" t="str" cm="1">
        <f t="array" ref="D21">_xll.BQL($A21, "Crncy")</f>
        <v>EUR</v>
      </c>
      <c r="E21" t="str" cm="1">
        <f t="array" ref="E21">_xll.BDP(B21,"ex028")</f>
        <v>Equity</v>
      </c>
      <c r="F21" t="str" cm="1">
        <f t="array" ref="F21">_xll.BDP($B21,"Security_Typ")</f>
        <v>Common Stock</v>
      </c>
      <c r="G21" t="str" cm="1">
        <f t="array" ref="G21">_xll.BDP($B21,"Gics_Sector_Name")</f>
        <v>Industrials</v>
      </c>
      <c r="H21" t="str" cm="1">
        <f t="array" ref="H21">IF(OR(F21="ETP",F21="Open-End Fund"),_xll.BDP($B21,"FD121"),"")</f>
        <v/>
      </c>
      <c r="I21" t="str" cm="1">
        <f t="array" ref="I21">IF(OR(F21="ETP",F21="Open-End Fund"),_xll.BDP($B21,"Fund_Objective_Long"),"")</f>
        <v/>
      </c>
      <c r="K21" t="str">
        <f t="shared" si="0"/>
        <v>Daimler Truck Holding Ag</v>
      </c>
    </row>
    <row r="22" spans="1:11" x14ac:dyDescent="0.25">
      <c r="A22" t="s">
        <v>20</v>
      </c>
      <c r="B22" t="str" cm="1">
        <f t="array" ref="B22">_xll.BQL($A22&amp;" Equity", "BB_Default_Risk_Obligor_Ticker")</f>
        <v>NOVOB DC Equity</v>
      </c>
      <c r="C22" t="str" cm="1">
        <f t="array" ref="C22">_xll.BDP($A22&amp;" Equity","Name")</f>
        <v>NOVO NORDISK A/S-B</v>
      </c>
      <c r="D22" t="str" cm="1">
        <f t="array" ref="D22">_xll.BQL($A22, "Crncy")</f>
        <v>DKK</v>
      </c>
      <c r="E22" t="str" cm="1">
        <f t="array" ref="E22">_xll.BDP(B22,"ex028")</f>
        <v>Equity</v>
      </c>
      <c r="F22" t="str" cm="1">
        <f t="array" ref="F22">_xll.BDP($B22,"Security_Typ")</f>
        <v>Common Stock</v>
      </c>
      <c r="G22" t="str" cm="1">
        <f t="array" ref="G22">_xll.BDP($B22,"Gics_Sector_Name")</f>
        <v>Health Care</v>
      </c>
      <c r="H22" t="str" cm="1">
        <f t="array" ref="H22">IF(OR(F22="ETP",F22="Open-End Fund"),_xll.BDP($B22,"FD121"),"")</f>
        <v/>
      </c>
      <c r="I22" t="str" cm="1">
        <f t="array" ref="I22">IF(OR(F22="ETP",F22="Open-End Fund"),_xll.BDP($B22,"Fund_Objective_Long"),"")</f>
        <v/>
      </c>
      <c r="K22" t="str">
        <f t="shared" si="0"/>
        <v>Novo Nordisk A/S-B</v>
      </c>
    </row>
    <row r="23" spans="1:11" x14ac:dyDescent="0.25">
      <c r="A23" t="s">
        <v>21</v>
      </c>
      <c r="B23" t="str" cm="1">
        <f t="array" ref="B23">_xll.BQL($A23&amp;" Equity", "BB_Default_Risk_Obligor_Ticker")</f>
        <v>ABG SM Equity</v>
      </c>
      <c r="C23" t="str" cm="1">
        <f t="array" ref="C23">_xll.BDP($A23&amp;" Equity","Name")</f>
        <v>ABENGOA SA- B SHARES</v>
      </c>
      <c r="D23" t="str" cm="1">
        <f t="array" ref="D23">_xll.BQL($A23, "Crncy")</f>
        <v>EUR</v>
      </c>
      <c r="E23" t="str" cm="1">
        <f t="array" ref="E23">_xll.BDP(B23,"ex028")</f>
        <v>Equity</v>
      </c>
      <c r="F23" t="str" cm="1">
        <f t="array" ref="F23">_xll.BDP($B23,"Security_Typ")</f>
        <v>Common Stock</v>
      </c>
      <c r="G23" t="str" cm="1">
        <f t="array" ref="G23">_xll.BDP($B23,"Gics_Sector_Name")</f>
        <v>Industrials</v>
      </c>
      <c r="H23" t="str" cm="1">
        <f t="array" ref="H23">IF(OR(F23="ETP",F23="Open-End Fund"),_xll.BDP($B23,"FD121"),"")</f>
        <v/>
      </c>
      <c r="I23" t="str" cm="1">
        <f t="array" ref="I23">IF(OR(F23="ETP",F23="Open-End Fund"),_xll.BDP($B23,"Fund_Objective_Long"),"")</f>
        <v/>
      </c>
      <c r="K23" t="str">
        <f t="shared" si="0"/>
        <v>Abengoa Sa- B Shares</v>
      </c>
    </row>
    <row r="24" spans="1:11" x14ac:dyDescent="0.25">
      <c r="A24" t="s">
        <v>22</v>
      </c>
      <c r="B24" t="str" cm="1">
        <f t="array" ref="B24">_xll.BQL($A24&amp;" Equity", "BB_Default_Risk_Obligor_Ticker")</f>
        <v>ABG SM Equity</v>
      </c>
      <c r="C24" t="str" cm="1">
        <f t="array" ref="C24">_xll.BDP($A24&amp;" Equity","Name")</f>
        <v>ABENGOA SA -CL A</v>
      </c>
      <c r="D24" t="str" cm="1">
        <f t="array" ref="D24">_xll.BQL($A24, "Crncy")</f>
        <v>EUR</v>
      </c>
      <c r="E24" t="str" cm="1">
        <f t="array" ref="E24">_xll.BDP(B24,"ex028")</f>
        <v>Equity</v>
      </c>
      <c r="F24" t="str" cm="1">
        <f t="array" ref="F24">_xll.BDP($B24,"Security_Typ")</f>
        <v>Common Stock</v>
      </c>
      <c r="G24" t="str" cm="1">
        <f t="array" ref="G24">_xll.BDP($B24,"Gics_Sector_Name")</f>
        <v>Industrials</v>
      </c>
      <c r="H24" t="str" cm="1">
        <f t="array" ref="H24">IF(OR(F24="ETP",F24="Open-End Fund"),_xll.BDP($B24,"FD121"),"")</f>
        <v/>
      </c>
      <c r="I24" t="str" cm="1">
        <f t="array" ref="I24">IF(OR(F24="ETP",F24="Open-End Fund"),_xll.BDP($B24,"Fund_Objective_Long"),"")</f>
        <v/>
      </c>
      <c r="K24" t="str">
        <f t="shared" si="0"/>
        <v>Abengoa Sa -Cl A</v>
      </c>
    </row>
    <row r="25" spans="1:11" x14ac:dyDescent="0.25">
      <c r="A25" t="s">
        <v>23</v>
      </c>
      <c r="B25" t="str" cm="1">
        <f t="array" ref="B25">_xll.BQL($A25&amp;" Equity", "BB_Default_Risk_Obligor_Ticker")</f>
        <v>IBE SM Equity</v>
      </c>
      <c r="C25" t="str" cm="1">
        <f t="array" ref="C25">_xll.BDP($A25&amp;" Equity","Name")</f>
        <v>IBERDROLA SA</v>
      </c>
      <c r="D25" t="str" cm="1">
        <f t="array" ref="D25">_xll.BQL($A25, "Crncy")</f>
        <v>EUR</v>
      </c>
      <c r="E25" t="str" cm="1">
        <f t="array" ref="E25">_xll.BDP(B25,"ex028")</f>
        <v>Equity</v>
      </c>
      <c r="F25" t="str" cm="1">
        <f t="array" ref="F25">_xll.BDP($B25,"Security_Typ")</f>
        <v>Common Stock</v>
      </c>
      <c r="G25" t="str" cm="1">
        <f t="array" ref="G25">_xll.BDP($B25,"Gics_Sector_Name")</f>
        <v>Utilities</v>
      </c>
      <c r="H25" t="str" cm="1">
        <f t="array" ref="H25">IF(OR(F25="ETP",F25="Open-End Fund"),_xll.BDP($B25,"FD121"),"")</f>
        <v/>
      </c>
      <c r="I25" t="str" cm="1">
        <f t="array" ref="I25">IF(OR(F25="ETP",F25="Open-End Fund"),_xll.BDP($B25,"Fund_Objective_Long"),"")</f>
        <v/>
      </c>
      <c r="K25" t="str">
        <f t="shared" si="0"/>
        <v>Iberdrola Sa</v>
      </c>
    </row>
    <row r="26" spans="1:11" x14ac:dyDescent="0.25">
      <c r="A26" t="s">
        <v>24</v>
      </c>
      <c r="B26" t="str" cm="1">
        <f t="array" ref="B26">_xll.BQL($A26&amp;" Equity", "BB_Default_Risk_Obligor_Ticker")</f>
        <v>VALMT FH Equity</v>
      </c>
      <c r="C26" t="str" cm="1">
        <f t="array" ref="C26">_xll.BDP($A26&amp;" Equity","Name")</f>
        <v>VALMET OYJ</v>
      </c>
      <c r="D26" t="str" cm="1">
        <f t="array" ref="D26">_xll.BQL($A26, "Crncy")</f>
        <v>EUR</v>
      </c>
      <c r="E26" t="str" cm="1">
        <f t="array" ref="E26">_xll.BDP(B26,"ex028")</f>
        <v>Equity</v>
      </c>
      <c r="F26" t="str" cm="1">
        <f t="array" ref="F26">_xll.BDP($B26,"Security_Typ")</f>
        <v>Common Stock</v>
      </c>
      <c r="G26" t="str" cm="1">
        <f t="array" ref="G26">_xll.BDP($B26,"Gics_Sector_Name")</f>
        <v>Industrials</v>
      </c>
      <c r="H26" t="str" cm="1">
        <f t="array" ref="H26">IF(OR(F26="ETP",F26="Open-End Fund"),_xll.BDP($B26,"FD121"),"")</f>
        <v/>
      </c>
      <c r="I26" t="str" cm="1">
        <f t="array" ref="I26">IF(OR(F26="ETP",F26="Open-End Fund"),_xll.BDP($B26,"Fund_Objective_Long"),"")</f>
        <v/>
      </c>
      <c r="K26" t="str">
        <f t="shared" si="0"/>
        <v>Valmet Oyj</v>
      </c>
    </row>
    <row r="27" spans="1:11" x14ac:dyDescent="0.25">
      <c r="A27" t="s">
        <v>25</v>
      </c>
      <c r="B27" t="str" cm="1">
        <f t="array" ref="B27">_xll.BQL($A27&amp;" Equity", "BB_Default_Risk_Obligor_Ticker")</f>
        <v>HO FP Equity</v>
      </c>
      <c r="C27" t="str" cm="1">
        <f t="array" ref="C27">_xll.BDP($A27&amp;" Equity","Name")</f>
        <v>THALES SA</v>
      </c>
      <c r="D27" t="str" cm="1">
        <f t="array" ref="D27">_xll.BQL($A27, "Crncy")</f>
        <v>EUR</v>
      </c>
      <c r="E27" t="str" cm="1">
        <f t="array" ref="E27">_xll.BDP(B27,"ex028")</f>
        <v>Equity</v>
      </c>
      <c r="F27" t="str" cm="1">
        <f t="array" ref="F27">_xll.BDP($B27,"Security_Typ")</f>
        <v>Common Stock</v>
      </c>
      <c r="G27" t="str" cm="1">
        <f t="array" ref="G27">_xll.BDP($B27,"Gics_Sector_Name")</f>
        <v>Industrials</v>
      </c>
      <c r="H27" t="str" cm="1">
        <f t="array" ref="H27">IF(OR(F27="ETP",F27="Open-End Fund"),_xll.BDP($B27,"FD121"),"")</f>
        <v/>
      </c>
      <c r="I27" t="str" cm="1">
        <f t="array" ref="I27">IF(OR(F27="ETP",F27="Open-End Fund"),_xll.BDP($B27,"Fund_Objective_Long"),"")</f>
        <v/>
      </c>
      <c r="K27" t="str">
        <f t="shared" si="0"/>
        <v>Thales Sa</v>
      </c>
    </row>
    <row r="28" spans="1:11" x14ac:dyDescent="0.25">
      <c r="A28" t="s">
        <v>26</v>
      </c>
      <c r="B28" t="str" cm="1">
        <f t="array" ref="B28">_xll.BQL($A28&amp;" Equity", "BB_Default_Risk_Obligor_Ticker")</f>
        <v>CAP FP Equity</v>
      </c>
      <c r="C28" t="str" cm="1">
        <f t="array" ref="C28">_xll.BDP($A28&amp;" Equity","Name")</f>
        <v>CAPGEMINI SE</v>
      </c>
      <c r="D28" t="str" cm="1">
        <f t="array" ref="D28">_xll.BQL($A28, "Crncy")</f>
        <v>EUR</v>
      </c>
      <c r="E28" t="str" cm="1">
        <f t="array" ref="E28">_xll.BDP(B28,"ex028")</f>
        <v>Equity</v>
      </c>
      <c r="F28" t="str" cm="1">
        <f t="array" ref="F28">_xll.BDP($B28,"Security_Typ")</f>
        <v>Common Stock</v>
      </c>
      <c r="G28" t="str" cm="1">
        <f t="array" ref="G28">_xll.BDP($B28,"Gics_Sector_Name")</f>
        <v>Information Technology</v>
      </c>
      <c r="H28" t="str" cm="1">
        <f t="array" ref="H28">IF(OR(F28="ETP",F28="Open-End Fund"),_xll.BDP($B28,"FD121"),"")</f>
        <v/>
      </c>
      <c r="I28" t="str" cm="1">
        <f t="array" ref="I28">IF(OR(F28="ETP",F28="Open-End Fund"),_xll.BDP($B28,"Fund_Objective_Long"),"")</f>
        <v/>
      </c>
      <c r="K28" t="str">
        <f t="shared" si="0"/>
        <v>Capgemini Se</v>
      </c>
    </row>
    <row r="29" spans="1:11" x14ac:dyDescent="0.25">
      <c r="A29" t="s">
        <v>27</v>
      </c>
      <c r="B29" t="str" cm="1">
        <f t="array" ref="B29">_xll.BQL($A29&amp;" Equity", "BB_Default_Risk_Obligor_Ticker")</f>
        <v>DG FP Equity</v>
      </c>
      <c r="C29" t="str" cm="1">
        <f t="array" ref="C29">_xll.BDP($A29&amp;" Equity","Name")</f>
        <v>VINCI SA</v>
      </c>
      <c r="D29" t="str" cm="1">
        <f t="array" ref="D29">_xll.BQL($A29, "Crncy")</f>
        <v>EUR</v>
      </c>
      <c r="E29" t="str" cm="1">
        <f t="array" ref="E29">_xll.BDP(B29,"ex028")</f>
        <v>Equity</v>
      </c>
      <c r="F29" t="str" cm="1">
        <f t="array" ref="F29">_xll.BDP($B29,"Security_Typ")</f>
        <v>Common Stock</v>
      </c>
      <c r="G29" t="str" cm="1">
        <f t="array" ref="G29">_xll.BDP($B29,"Gics_Sector_Name")</f>
        <v>Industrials</v>
      </c>
      <c r="H29" t="str" cm="1">
        <f t="array" ref="H29">IF(OR(F29="ETP",F29="Open-End Fund"),_xll.BDP($B29,"FD121"),"")</f>
        <v/>
      </c>
      <c r="I29" t="str" cm="1">
        <f t="array" ref="I29">IF(OR(F29="ETP",F29="Open-End Fund"),_xll.BDP($B29,"Fund_Objective_Long"),"")</f>
        <v/>
      </c>
      <c r="K29" t="str">
        <f t="shared" si="0"/>
        <v>Vinci Sa</v>
      </c>
    </row>
    <row r="30" spans="1:11" x14ac:dyDescent="0.25">
      <c r="A30" t="s">
        <v>28</v>
      </c>
      <c r="B30" t="str" cm="1">
        <f t="array" ref="B30">_xll.BQL($A30&amp;" Equity", "BB_Default_Risk_Obligor_Ticker")</f>
        <v>FGR FP Equity</v>
      </c>
      <c r="C30" t="str" cm="1">
        <f t="array" ref="C30">_xll.BDP($A30&amp;" Equity","Name")</f>
        <v>EIFFAGE</v>
      </c>
      <c r="D30" t="str" cm="1">
        <f t="array" ref="D30">_xll.BQL($A30, "Crncy")</f>
        <v>EUR</v>
      </c>
      <c r="E30" t="str" cm="1">
        <f t="array" ref="E30">_xll.BDP(B30,"ex028")</f>
        <v>Equity</v>
      </c>
      <c r="F30" t="str" cm="1">
        <f t="array" ref="F30">_xll.BDP($B30,"Security_Typ")</f>
        <v>Common Stock</v>
      </c>
      <c r="G30" t="str" cm="1">
        <f t="array" ref="G30">_xll.BDP($B30,"Gics_Sector_Name")</f>
        <v>Industrials</v>
      </c>
      <c r="H30" t="str" cm="1">
        <f t="array" ref="H30">IF(OR(F30="ETP",F30="Open-End Fund"),_xll.BDP($B30,"FD121"),"")</f>
        <v/>
      </c>
      <c r="I30" t="str" cm="1">
        <f t="array" ref="I30">IF(OR(F30="ETP",F30="Open-End Fund"),_xll.BDP($B30,"Fund_Objective_Long"),"")</f>
        <v/>
      </c>
      <c r="K30" t="str">
        <f t="shared" si="0"/>
        <v>Eiffage</v>
      </c>
    </row>
    <row r="31" spans="1:11" x14ac:dyDescent="0.25">
      <c r="A31" t="s">
        <v>29</v>
      </c>
      <c r="B31" t="str" cm="1">
        <f t="array" ref="B31">_xll.BQL($A31&amp;" Equity", "BB_Default_Risk_Obligor_Ticker")</f>
        <v>BNP FP Equity</v>
      </c>
      <c r="C31" t="str" cm="1">
        <f t="array" ref="C31">_xll.BDP($A31&amp;" Equity","Name")</f>
        <v>BNP PARIBAS</v>
      </c>
      <c r="D31" t="str" cm="1">
        <f t="array" ref="D31">_xll.BQL($A31, "Crncy")</f>
        <v>EUR</v>
      </c>
      <c r="E31" t="str" cm="1">
        <f t="array" ref="E31">_xll.BDP(B31,"ex028")</f>
        <v>Equity</v>
      </c>
      <c r="F31" t="str" cm="1">
        <f t="array" ref="F31">_xll.BDP($B31,"Security_Typ")</f>
        <v>Common Stock</v>
      </c>
      <c r="G31" t="str" cm="1">
        <f t="array" ref="G31">_xll.BDP($B31,"Gics_Sector_Name")</f>
        <v>Financials</v>
      </c>
      <c r="H31" t="str" cm="1">
        <f t="array" ref="H31">IF(OR(F31="ETP",F31="Open-End Fund"),_xll.BDP($B31,"FD121"),"")</f>
        <v/>
      </c>
      <c r="I31" t="str" cm="1">
        <f t="array" ref="I31">IF(OR(F31="ETP",F31="Open-End Fund"),_xll.BDP($B31,"Fund_Objective_Long"),"")</f>
        <v/>
      </c>
      <c r="K31" t="str">
        <f t="shared" si="0"/>
        <v>Bnp Paribas</v>
      </c>
    </row>
    <row r="32" spans="1:11" x14ac:dyDescent="0.25">
      <c r="A32" t="s">
        <v>30</v>
      </c>
      <c r="B32" t="str" cm="1">
        <f t="array" ref="B32">_xll.BQL($A32&amp;" Equity", "BB_Default_Risk_Obligor_Ticker")</f>
        <v>TICRPLA FP Equity</v>
      </c>
      <c r="C32" t="str" cm="1">
        <f t="array" ref="C32">_xll.BDP($A32&amp;" Equity","Name")</f>
        <v>TIKEHAU EUROPEAN HGH YLD-IAE</v>
      </c>
      <c r="D32" t="str" cm="1">
        <f t="array" ref="D32">_xll.BQL($A32, "Crncy")</f>
        <v>EUR</v>
      </c>
      <c r="E32" t="str" cm="1">
        <f t="array" ref="E32">_xll.BDP(B32,"ex028")</f>
        <v>Fund</v>
      </c>
      <c r="F32" t="str" cm="1">
        <f t="array" ref="F32">_xll.BDP($B32,"Security_Typ")</f>
        <v>Open-End Fund</v>
      </c>
      <c r="G32" t="str" cm="1">
        <f t="array" ref="G32">_xll.BDP($B32,"Gics_Sector_Name")</f>
        <v>#N/A N/A</v>
      </c>
      <c r="H32" t="str" cm="1">
        <f t="array" ref="H32">IF(OR(F32="ETP",F32="Open-End Fund"),_xll.BDP($B32,"FD121"),"")</f>
        <v>Fixed Income</v>
      </c>
      <c r="I32" t="str" cm="1">
        <f t="array" ref="I32">IF(OR(F32="ETP",F32="Open-End Fund"),_xll.BDP($B32,"Fund_Objective_Long"),"")</f>
        <v>High Yield Bond</v>
      </c>
      <c r="K32" t="str">
        <f t="shared" si="0"/>
        <v>Tikehau European Hgh Yld-Iae</v>
      </c>
    </row>
    <row r="33" spans="1:11" x14ac:dyDescent="0.25">
      <c r="A33" t="s">
        <v>31</v>
      </c>
      <c r="B33" t="str" cm="1">
        <f t="array" ref="B33">_xll.BQL($A33&amp;" Equity", "BB_Default_Risk_Obligor_Ticker")</f>
        <v>JPN FP Equity</v>
      </c>
      <c r="C33" t="str" cm="1">
        <f t="array" ref="C33">_xll.BDP($A33&amp;" Equity","Name")</f>
        <v>AMI JAPAN TOPIX-D-HDG-EUR</v>
      </c>
      <c r="D33" t="str" cm="1">
        <f t="array" ref="D33">_xll.BQL($A33, "Crncy")</f>
        <v>EUR</v>
      </c>
      <c r="E33" t="str" cm="1">
        <f t="array" ref="E33">_xll.BDP(B33,"ex028")</f>
        <v>Fund</v>
      </c>
      <c r="F33" t="str" cm="1">
        <f t="array" ref="F33">_xll.BDP($B33,"Security_Typ")</f>
        <v>ETP</v>
      </c>
      <c r="G33" t="str" cm="1">
        <f t="array" ref="G33">_xll.BDP($B33,"Gics_Sector_Name")</f>
        <v>#N/A N/A</v>
      </c>
      <c r="H33" t="str" cm="1">
        <f t="array" ref="H33">IF(OR(F33="ETP",F33="Open-End Fund"),_xll.BDP($B33,"FD121"),"")</f>
        <v>Equity</v>
      </c>
      <c r="I33" t="str" cm="1">
        <f t="array" ref="I33">IF(OR(F33="ETP",F33="Open-End Fund"),_xll.BDP($B33,"Fund_Objective_Long"),"")</f>
        <v>Japan</v>
      </c>
      <c r="K33" t="str">
        <f t="shared" si="0"/>
        <v>Ami Japan Topix-D-Hdg-Eur</v>
      </c>
    </row>
    <row r="34" spans="1:11" x14ac:dyDescent="0.25">
      <c r="A34" t="s">
        <v>32</v>
      </c>
      <c r="B34" t="str" cm="1">
        <f t="array" ref="B34">_xll.BQL($A34&amp;" Equity", "BB_Default_Risk_Obligor_Ticker")</f>
        <v>DSY FP Equity</v>
      </c>
      <c r="C34" t="str" cm="1">
        <f t="array" ref="C34">_xll.BDP($A34&amp;" Equity","Name")</f>
        <v>DASSAULT SYSTEMES SE</v>
      </c>
      <c r="D34" t="str" cm="1">
        <f t="array" ref="D34">_xll.BQL($A34, "Crncy")</f>
        <v>EUR</v>
      </c>
      <c r="E34" t="str" cm="1">
        <f t="array" ref="E34">_xll.BDP(B34,"ex028")</f>
        <v>Equity</v>
      </c>
      <c r="F34" t="str" cm="1">
        <f t="array" ref="F34">_xll.BDP($B34,"Security_Typ")</f>
        <v>Common Stock</v>
      </c>
      <c r="G34" t="str" cm="1">
        <f t="array" ref="G34">_xll.BDP($B34,"Gics_Sector_Name")</f>
        <v>Information Technology</v>
      </c>
      <c r="H34" t="str" cm="1">
        <f t="array" ref="H34">IF(OR(F34="ETP",F34="Open-End Fund"),_xll.BDP($B34,"FD121"),"")</f>
        <v/>
      </c>
      <c r="I34" t="str" cm="1">
        <f t="array" ref="I34">IF(OR(F34="ETP",F34="Open-End Fund"),_xll.BDP($B34,"Fund_Objective_Long"),"")</f>
        <v/>
      </c>
      <c r="K34" t="str">
        <f t="shared" si="0"/>
        <v>Dassault Systemes Se</v>
      </c>
    </row>
    <row r="35" spans="1:11" x14ac:dyDescent="0.25">
      <c r="A35" t="s">
        <v>33</v>
      </c>
      <c r="B35" t="str" cm="1">
        <f t="array" ref="B35">_xll.BQL($A35&amp;" Equity", "BB_Default_Risk_Obligor_Ticker")</f>
        <v>BT/A LN Equity</v>
      </c>
      <c r="C35" t="str" cm="1">
        <f t="array" ref="C35">_xll.BDP($A35&amp;" Equity","Name")</f>
        <v>BT GROUP PLC</v>
      </c>
      <c r="D35" t="str" cm="1">
        <f t="array" ref="D35">_xll.BQL($A35, "Crncy")</f>
        <v>GBp</v>
      </c>
      <c r="E35" t="str" cm="1">
        <f t="array" ref="E35">_xll.BDP(B35,"ex028")</f>
        <v>Equity</v>
      </c>
      <c r="F35" t="str" cm="1">
        <f t="array" ref="F35">_xll.BDP($B35,"Security_Typ")</f>
        <v>Common Stock</v>
      </c>
      <c r="G35" t="str" cm="1">
        <f t="array" ref="G35">_xll.BDP($B35,"Gics_Sector_Name")</f>
        <v>Communication Services</v>
      </c>
      <c r="H35" t="str" cm="1">
        <f t="array" ref="H35">IF(OR(F35="ETP",F35="Open-End Fund"),_xll.BDP($B35,"FD121"),"")</f>
        <v/>
      </c>
      <c r="I35" t="str" cm="1">
        <f t="array" ref="I35">IF(OR(F35="ETP",F35="Open-End Fund"),_xll.BDP($B35,"Fund_Objective_Long"),"")</f>
        <v/>
      </c>
      <c r="K35" t="str">
        <f t="shared" si="0"/>
        <v>Bt Group Plc</v>
      </c>
    </row>
    <row r="36" spans="1:11" x14ac:dyDescent="0.25">
      <c r="A36" t="s">
        <v>34</v>
      </c>
      <c r="B36" t="str" cm="1">
        <f t="array" ref="B36">_xll.BQL($A36&amp;" Equity", "BB_Default_Risk_Obligor_Ticker")</f>
        <v>CRUD LN Equity</v>
      </c>
      <c r="C36" t="str" cm="1">
        <f t="array" ref="C36">_xll.BDP($A36&amp;" Equity","Name")</f>
        <v>ETFS WTI CRUDE OIL</v>
      </c>
      <c r="D36" t="str" cm="1">
        <f t="array" ref="D36">_xll.BQL($A36, "Crncy")</f>
        <v>USD</v>
      </c>
      <c r="E36" t="str" cm="1">
        <f t="array" ref="E36">_xll.BDP(B36,"ex028")</f>
        <v>Fund</v>
      </c>
      <c r="F36" t="str" cm="1">
        <f t="array" ref="F36">_xll.BDP($B36,"Security_Typ")</f>
        <v>ETP</v>
      </c>
      <c r="G36" t="str" cm="1">
        <f t="array" ref="G36">_xll.BDP($B36,"Gics_Sector_Name")</f>
        <v>#N/A N/A</v>
      </c>
      <c r="H36" t="str" cm="1">
        <f t="array" ref="H36">IF(OR(F36="ETP",F36="Open-End Fund"),_xll.BDP($B36,"FD121"),"")</f>
        <v>Commodity</v>
      </c>
      <c r="I36" t="str" cm="1">
        <f t="array" ref="I36">IF(OR(F36="ETP",F36="Open-End Fund"),_xll.BDP($B36,"Fund_Objective_Long"),"")</f>
        <v>Energy</v>
      </c>
      <c r="K36" t="str">
        <f t="shared" si="0"/>
        <v>Etfs Wti Crude Oil</v>
      </c>
    </row>
    <row r="37" spans="1:11" x14ac:dyDescent="0.25">
      <c r="A37" t="s">
        <v>35</v>
      </c>
      <c r="B37" t="str" cm="1">
        <f t="array" ref="B37">_xll.BQL($A37&amp;" Equity", "BB_Default_Risk_Obligor_Ticker")</f>
        <v>RVMMBOI LN Equity</v>
      </c>
      <c r="C37" t="str" cm="1">
        <f t="array" ref="C37">_xll.BDP($A37&amp;" Equity","Name")</f>
        <v>LIONTRUST UK SMALLER CO-IINC</v>
      </c>
      <c r="D37" t="str" cm="1">
        <f t="array" ref="D37">_xll.BQL($A37, "Crncy")</f>
        <v>GBp</v>
      </c>
      <c r="E37" t="str" cm="1">
        <f t="array" ref="E37">_xll.BDP(B37,"ex028")</f>
        <v>Fund</v>
      </c>
      <c r="F37" t="str" cm="1">
        <f t="array" ref="F37">_xll.BDP($B37,"Security_Typ")</f>
        <v>Open-End Fund</v>
      </c>
      <c r="G37" t="str" cm="1">
        <f t="array" ref="G37">_xll.BDP($B37,"Gics_Sector_Name")</f>
        <v>#N/A N/A</v>
      </c>
      <c r="H37" t="str" cm="1">
        <f t="array" ref="H37">IF(OR(F37="ETP",F37="Open-End Fund"),_xll.BDP($B37,"FD121"),"")</f>
        <v>Equity</v>
      </c>
      <c r="I37" t="str" cm="1">
        <f t="array" ref="I37">IF(OR(F37="ETP",F37="Open-End Fund"),_xll.BDP($B37,"Fund_Objective_Long"),"")</f>
        <v>Blend Small Cap</v>
      </c>
      <c r="K37" t="str">
        <f t="shared" si="0"/>
        <v>Liontrust Uk Smaller Co-Iinc</v>
      </c>
    </row>
    <row r="38" spans="1:11" x14ac:dyDescent="0.25">
      <c r="A38" t="s">
        <v>36</v>
      </c>
      <c r="B38" t="str" cm="1">
        <f t="array" ref="B38">_xll.BQL($A38&amp;" Equity", "BB_Default_Risk_Obligor_Ticker")</f>
        <v>VOD LN Equity</v>
      </c>
      <c r="C38" t="str" cm="1">
        <f t="array" ref="C38">_xll.BDP($A38&amp;" Equity","Name")</f>
        <v>VODAFONE GROUP PLC</v>
      </c>
      <c r="D38" t="str" cm="1">
        <f t="array" ref="D38">_xll.BQL($A38, "Crncy")</f>
        <v>GBp</v>
      </c>
      <c r="E38" t="str" cm="1">
        <f t="array" ref="E38">_xll.BDP(B38,"ex028")</f>
        <v>Equity</v>
      </c>
      <c r="F38" t="str" cm="1">
        <f t="array" ref="F38">_xll.BDP($B38,"Security_Typ")</f>
        <v>Common Stock</v>
      </c>
      <c r="G38" t="str" cm="1">
        <f t="array" ref="G38">_xll.BDP($B38,"Gics_Sector_Name")</f>
        <v>Communication Services</v>
      </c>
      <c r="H38" t="str" cm="1">
        <f t="array" ref="H38">IF(OR(F38="ETP",F38="Open-End Fund"),_xll.BDP($B38,"FD121"),"")</f>
        <v/>
      </c>
      <c r="I38" t="str" cm="1">
        <f t="array" ref="I38">IF(OR(F38="ETP",F38="Open-End Fund"),_xll.BDP($B38,"Fund_Objective_Long"),"")</f>
        <v/>
      </c>
      <c r="K38" t="str">
        <f t="shared" si="0"/>
        <v>Vodafone Group Plc</v>
      </c>
    </row>
    <row r="39" spans="1:11" x14ac:dyDescent="0.25">
      <c r="A39" t="s">
        <v>37</v>
      </c>
      <c r="B39" t="str" cm="1">
        <f t="array" ref="B39">_xll.BQL($A39&amp;" Equity", "BB_Default_Risk_Obligor_Ticker")</f>
        <v>GLB ID Equity</v>
      </c>
      <c r="C39" t="str" cm="1">
        <f t="array" ref="C39">_xll.BDP($A39&amp;" Equity","Name")</f>
        <v>GLANBIA PLC</v>
      </c>
      <c r="D39" t="str" cm="1">
        <f t="array" ref="D39">_xll.BQL($A39, "Crncy")</f>
        <v>EUR</v>
      </c>
      <c r="E39" t="str" cm="1">
        <f t="array" ref="E39">_xll.BDP(B39,"ex028")</f>
        <v>Equity</v>
      </c>
      <c r="F39" t="str" cm="1">
        <f t="array" ref="F39">_xll.BDP($B39,"Security_Typ")</f>
        <v>Common Stock</v>
      </c>
      <c r="G39" t="str" cm="1">
        <f t="array" ref="G39">_xll.BDP($B39,"Gics_Sector_Name")</f>
        <v>Consumer Staples</v>
      </c>
      <c r="H39" t="str" cm="1">
        <f t="array" ref="H39">IF(OR(F39="ETP",F39="Open-End Fund"),_xll.BDP($B39,"FD121"),"")</f>
        <v/>
      </c>
      <c r="I39" t="str" cm="1">
        <f t="array" ref="I39">IF(OR(F39="ETP",F39="Open-End Fund"),_xll.BDP($B39,"Fund_Objective_Long"),"")</f>
        <v/>
      </c>
      <c r="K39" t="str">
        <f t="shared" si="0"/>
        <v>Glanbia Plc</v>
      </c>
    </row>
    <row r="40" spans="1:11" x14ac:dyDescent="0.25">
      <c r="A40" t="s">
        <v>38</v>
      </c>
      <c r="B40" t="str" cm="1">
        <f t="array" ref="B40">_xll.BQL($A40&amp;" Equity", "BB_Default_Risk_Obligor_Ticker")</f>
        <v>KYGA ID Equity</v>
      </c>
      <c r="C40" t="str" cm="1">
        <f t="array" ref="C40">_xll.BDP($A40&amp;" Equity","Name")</f>
        <v>KERRY GROUP PLC-A</v>
      </c>
      <c r="D40" t="str" cm="1">
        <f t="array" ref="D40">_xll.BQL($A40, "Crncy")</f>
        <v>EUR</v>
      </c>
      <c r="E40" t="str" cm="1">
        <f t="array" ref="E40">_xll.BDP(B40,"ex028")</f>
        <v>Equity</v>
      </c>
      <c r="F40" t="str" cm="1">
        <f t="array" ref="F40">_xll.BDP($B40,"Security_Typ")</f>
        <v>Common Stock</v>
      </c>
      <c r="G40" t="str" cm="1">
        <f t="array" ref="G40">_xll.BDP($B40,"Gics_Sector_Name")</f>
        <v>Consumer Staples</v>
      </c>
      <c r="H40" t="str" cm="1">
        <f t="array" ref="H40">IF(OR(F40="ETP",F40="Open-End Fund"),_xll.BDP($B40,"FD121"),"")</f>
        <v/>
      </c>
      <c r="I40" t="str" cm="1">
        <f t="array" ref="I40">IF(OR(F40="ETP",F40="Open-End Fund"),_xll.BDP($B40,"Fund_Objective_Long"),"")</f>
        <v/>
      </c>
      <c r="K40" t="str">
        <f t="shared" si="0"/>
        <v>Kerry Group Plc-A</v>
      </c>
    </row>
    <row r="41" spans="1:11" x14ac:dyDescent="0.25">
      <c r="A41" t="s">
        <v>39</v>
      </c>
      <c r="B41" t="str" cm="1">
        <f t="array" ref="B41">_xll.BQL($A41&amp;" Equity", "BB_Default_Risk_Obligor_Ticker")</f>
        <v>ISF LN Equity</v>
      </c>
      <c r="C41" t="str" cm="1">
        <f t="array" ref="C41">_xll.BDP($A41&amp;" Equity","Name")</f>
        <v>ISHARES CORE FTSE 100</v>
      </c>
      <c r="D41" t="str" cm="1">
        <f t="array" ref="D41">_xll.BQL($A41, "Crncy")</f>
        <v>GBp</v>
      </c>
      <c r="E41" t="str" cm="1">
        <f t="array" ref="E41">_xll.BDP(B41,"ex028")</f>
        <v>Fund</v>
      </c>
      <c r="F41" t="str" cm="1">
        <f t="array" ref="F41">_xll.BDP($B41,"Security_Typ")</f>
        <v>ETP</v>
      </c>
      <c r="G41" t="str" cm="1">
        <f t="array" ref="G41">_xll.BDP($B41,"Gics_Sector_Name")</f>
        <v>#N/A N/A</v>
      </c>
      <c r="H41" t="str" cm="1">
        <f t="array" ref="H41">IF(OR(F41="ETP",F41="Open-End Fund"),_xll.BDP($B41,"FD121"),"")</f>
        <v>Equity</v>
      </c>
      <c r="I41" t="str" cm="1">
        <f t="array" ref="I41">IF(OR(F41="ETP",F41="Open-End Fund"),_xll.BDP($B41,"Fund_Objective_Long"),"")</f>
        <v>United Kingdom</v>
      </c>
      <c r="K41" t="str">
        <f t="shared" si="0"/>
        <v>Ishares Core Ftse 100</v>
      </c>
    </row>
    <row r="42" spans="1:11" x14ac:dyDescent="0.25">
      <c r="A42" t="s">
        <v>40</v>
      </c>
      <c r="B42" t="str" cm="1">
        <f t="array" ref="B42">_xll.BQL($A42&amp;" Equity", "BB_Default_Risk_Obligor_Ticker")</f>
        <v>IDVY LN Equity</v>
      </c>
      <c r="C42" t="str" cm="1">
        <f t="array" ref="C42">_xll.BDP($A42&amp;" Equity","Name")</f>
        <v>ISHARES EURO DIVIDEND</v>
      </c>
      <c r="D42" t="str" cm="1">
        <f t="array" ref="D42">_xll.BQL($A42, "Crncy")</f>
        <v>GBp</v>
      </c>
      <c r="E42" t="str" cm="1">
        <f t="array" ref="E42">_xll.BDP(B42,"ex028")</f>
        <v>Fund</v>
      </c>
      <c r="F42" t="str" cm="1">
        <f t="array" ref="F42">_xll.BDP($B42,"Security_Typ")</f>
        <v>ETP</v>
      </c>
      <c r="G42" t="str" cm="1">
        <f t="array" ref="G42">_xll.BDP($B42,"Gics_Sector_Name")</f>
        <v>#N/A N/A</v>
      </c>
      <c r="H42" t="str" cm="1">
        <f t="array" ref="H42">IF(OR(F42="ETP",F42="Open-End Fund"),_xll.BDP($B42,"FD121"),"")</f>
        <v>Equity</v>
      </c>
      <c r="I42" t="str" cm="1">
        <f t="array" ref="I42">IF(OR(F42="ETP",F42="Open-End Fund"),_xll.BDP($B42,"Fund_Objective_Long"),"")</f>
        <v>Eurozone</v>
      </c>
      <c r="K42" t="str">
        <f t="shared" si="0"/>
        <v>Ishares Euro Dividend</v>
      </c>
    </row>
    <row r="43" spans="1:11" x14ac:dyDescent="0.25">
      <c r="A43" t="s">
        <v>41</v>
      </c>
      <c r="B43" t="str" cm="1">
        <f t="array" ref="B43">_xll.BQL($A43&amp;" Equity", "BB_Default_Risk_Obligor_Ticker")</f>
        <v>IBCI LN Equity</v>
      </c>
      <c r="C43" t="str" cm="1">
        <f t="array" ref="C43">_xll.BDP($A43&amp;" Equity","Name")</f>
        <v>ISHARES EURO INFL-LKD GOVT</v>
      </c>
      <c r="D43" t="str" cm="1">
        <f t="array" ref="D43">_xll.BQL($A43, "Crncy")</f>
        <v>GBP</v>
      </c>
      <c r="E43" t="str" cm="1">
        <f t="array" ref="E43">_xll.BDP(B43,"ex028")</f>
        <v>Fund</v>
      </c>
      <c r="F43" t="str" cm="1">
        <f t="array" ref="F43">_xll.BDP($B43,"Security_Typ")</f>
        <v>ETP</v>
      </c>
      <c r="G43" t="str" cm="1">
        <f t="array" ref="G43">_xll.BDP($B43,"Gics_Sector_Name")</f>
        <v>#N/A N/A</v>
      </c>
      <c r="H43" t="str" cm="1">
        <f t="array" ref="H43">IF(OR(F43="ETP",F43="Open-End Fund"),_xll.BDP($B43,"FD121"),"")</f>
        <v>Fixed Income</v>
      </c>
      <c r="I43" t="str" cm="1">
        <f t="array" ref="I43">IF(OR(F43="ETP",F43="Open-End Fund"),_xll.BDP($B43,"Fund_Objective_Long"),"")</f>
        <v>Inflation Protected</v>
      </c>
      <c r="K43" t="str">
        <f t="shared" si="0"/>
        <v>Ishares Euro Infl-Lkd Govt</v>
      </c>
    </row>
    <row r="44" spans="1:11" x14ac:dyDescent="0.25">
      <c r="A44" t="s">
        <v>42</v>
      </c>
      <c r="B44" t="str" cm="1">
        <f t="array" ref="B44">_xll.BQL($A44&amp;" Equity", "BB_Default_Risk_Obligor_Ticker")</f>
        <v>SGLO LN Equity</v>
      </c>
      <c r="C44" t="str" cm="1">
        <f t="array" ref="C44">_xll.BDP($A44&amp;" Equity","Name")</f>
        <v>ISHARES GLOBAL GOV BND-DISTR</v>
      </c>
      <c r="D44" t="str" cm="1">
        <f t="array" ref="D44">_xll.BQL($A44, "Crncy")</f>
        <v>GBP</v>
      </c>
      <c r="E44" t="str" cm="1">
        <f t="array" ref="E44">_xll.BDP(B44,"ex028")</f>
        <v>Fund</v>
      </c>
      <c r="F44" t="str" cm="1">
        <f t="array" ref="F44">_xll.BDP($B44,"Security_Typ")</f>
        <v>ETP</v>
      </c>
      <c r="G44" t="str" cm="1">
        <f t="array" ref="G44">_xll.BDP($B44,"Gics_Sector_Name")</f>
        <v>#N/A N/A</v>
      </c>
      <c r="H44" t="str" cm="1">
        <f t="array" ref="H44">IF(OR(F44="ETP",F44="Open-End Fund"),_xll.BDP($B44,"FD121"),"")</f>
        <v>Fixed Income</v>
      </c>
      <c r="I44" t="str" cm="1">
        <f t="array" ref="I44">IF(OR(F44="ETP",F44="Open-End Fund"),_xll.BDP($B44,"Fund_Objective_Long"),"")</f>
        <v>Government</v>
      </c>
      <c r="K44" t="str">
        <f t="shared" si="0"/>
        <v>Ishares Global Gov Bnd-Distr</v>
      </c>
    </row>
    <row r="45" spans="1:11" x14ac:dyDescent="0.25">
      <c r="A45" t="s">
        <v>43</v>
      </c>
      <c r="B45" t="str" cm="1">
        <f t="array" ref="B45">_xll.BQL($A45&amp;" Equity", "BB_Default_Risk_Obligor_Ticker")</f>
        <v>IJPE LN Equity</v>
      </c>
      <c r="C45" t="str" cm="1">
        <f t="array" ref="C45">_xll.BDP($A45&amp;" Equity","Name")</f>
        <v>ISHARES MSCI JPN MONTH EUR-H</v>
      </c>
      <c r="D45" t="str" cm="1">
        <f t="array" ref="D45">_xll.BQL($A45, "Crncy")</f>
        <v>EUR</v>
      </c>
      <c r="E45" t="str" cm="1">
        <f t="array" ref="E45">_xll.BDP(B45,"ex028")</f>
        <v>Fund</v>
      </c>
      <c r="F45" t="str" cm="1">
        <f t="array" ref="F45">_xll.BDP($B45,"Security_Typ")</f>
        <v>ETP</v>
      </c>
      <c r="G45" t="str" cm="1">
        <f t="array" ref="G45">_xll.BDP($B45,"Gics_Sector_Name")</f>
        <v>#N/A N/A</v>
      </c>
      <c r="H45" t="str" cm="1">
        <f t="array" ref="H45">IF(OR(F45="ETP",F45="Open-End Fund"),_xll.BDP($B45,"FD121"),"")</f>
        <v>Equity</v>
      </c>
      <c r="I45" t="str" cm="1">
        <f t="array" ref="I45">IF(OR(F45="ETP",F45="Open-End Fund"),_xll.BDP($B45,"Fund_Objective_Long"),"")</f>
        <v>Japan</v>
      </c>
      <c r="K45" t="str">
        <f t="shared" si="0"/>
        <v>Ishares Msci Jpn Month Eur-H</v>
      </c>
    </row>
    <row r="46" spans="1:11" x14ac:dyDescent="0.25">
      <c r="A46" t="s">
        <v>44</v>
      </c>
      <c r="B46" t="str" cm="1">
        <f t="array" ref="B46">_xll.BQL($A46&amp;" Equity", "BB_Default_Risk_Obligor_Ticker")</f>
        <v>IHYU LN Equity</v>
      </c>
      <c r="C46" t="str" cm="1">
        <f t="array" ref="C46">_xll.BDP($A46&amp;" Equity","Name")</f>
        <v>ISHARES USD HY CORP USD DIST</v>
      </c>
      <c r="D46" t="str" cm="1">
        <f t="array" ref="D46">_xll.BQL($A46, "Crncy")</f>
        <v>USD</v>
      </c>
      <c r="E46" t="str" cm="1">
        <f t="array" ref="E46">_xll.BDP(B46,"ex028")</f>
        <v>Fund</v>
      </c>
      <c r="F46" t="str" cm="1">
        <f t="array" ref="F46">_xll.BDP($B46,"Security_Typ")</f>
        <v>ETP</v>
      </c>
      <c r="G46" t="str" cm="1">
        <f t="array" ref="G46">_xll.BDP($B46,"Gics_Sector_Name")</f>
        <v>#N/A N/A</v>
      </c>
      <c r="H46" t="str" cm="1">
        <f t="array" ref="H46">IF(OR(F46="ETP",F46="Open-End Fund"),_xll.BDP($B46,"FD121"),"")</f>
        <v>Fixed Income</v>
      </c>
      <c r="I46" t="str" cm="1">
        <f t="array" ref="I46">IF(OR(F46="ETP",F46="Open-End Fund"),_xll.BDP($B46,"Fund_Objective_Long"),"")</f>
        <v>Corporate</v>
      </c>
      <c r="K46" t="str">
        <f t="shared" si="0"/>
        <v>Ishares Usd Hy Corp Usd Dist</v>
      </c>
    </row>
    <row r="47" spans="1:11" x14ac:dyDescent="0.25">
      <c r="A47" t="s">
        <v>45</v>
      </c>
      <c r="B47" t="str" cm="1">
        <f t="array" ref="B47">_xll.BQL($A47&amp;" Equity", "BB_Default_Risk_Obligor_Ticker")</f>
        <v>EUNH GR Equity</v>
      </c>
      <c r="C47" t="str" cm="1">
        <f t="array" ref="C47">_xll.BDP($A47&amp;" Equity","Name")</f>
        <v>ISHARES CORE EURO GOVT BOND</v>
      </c>
      <c r="D47" t="str" cm="1">
        <f t="array" ref="D47">_xll.BQL($A47, "Crncy")</f>
        <v>EUR</v>
      </c>
      <c r="E47" t="str" cm="1">
        <f t="array" ref="E47">_xll.BDP(B47,"ex028")</f>
        <v>Fund</v>
      </c>
      <c r="F47" t="str" cm="1">
        <f t="array" ref="F47">_xll.BDP($B47,"Security_Typ")</f>
        <v>ETP</v>
      </c>
      <c r="G47" t="str" cm="1">
        <f t="array" ref="G47">_xll.BDP($B47,"Gics_Sector_Name")</f>
        <v>#N/A N/A</v>
      </c>
      <c r="H47" t="str" cm="1">
        <f t="array" ref="H47">IF(OR(F47="ETP",F47="Open-End Fund"),_xll.BDP($B47,"FD121"),"")</f>
        <v>Fixed Income</v>
      </c>
      <c r="I47" t="str" cm="1">
        <f t="array" ref="I47">IF(OR(F47="ETP",F47="Open-End Fund"),_xll.BDP($B47,"Fund_Objective_Long"),"")</f>
        <v>Government</v>
      </c>
      <c r="K47" t="str">
        <f t="shared" si="0"/>
        <v>Ishares Core Euro Govt Bond</v>
      </c>
    </row>
    <row r="48" spans="1:11" x14ac:dyDescent="0.25">
      <c r="A48" t="s">
        <v>46</v>
      </c>
      <c r="B48" t="str" cm="1">
        <f t="array" ref="B48">_xll.BQL($A48&amp;" Equity", "BB_Default_Risk_Obligor_Ticker")</f>
        <v>CSPX LN Equity</v>
      </c>
      <c r="C48" t="str" cm="1">
        <f t="array" ref="C48">_xll.BDP($A48&amp;" Equity","Name")</f>
        <v>ISHARES CORE S&amp;P 500</v>
      </c>
      <c r="D48" t="str" cm="1">
        <f t="array" ref="D48">_xll.BQL($A48, "Crncy")</f>
        <v>USD</v>
      </c>
      <c r="E48" t="str" cm="1">
        <f t="array" ref="E48">_xll.BDP(B48,"ex028")</f>
        <v>Fund</v>
      </c>
      <c r="F48" t="str" cm="1">
        <f t="array" ref="F48">_xll.BDP($B48,"Security_Typ")</f>
        <v>ETP</v>
      </c>
      <c r="G48" t="str" cm="1">
        <f t="array" ref="G48">_xll.BDP($B48,"Gics_Sector_Name")</f>
        <v>#N/A N/A</v>
      </c>
      <c r="H48" t="str" cm="1">
        <f t="array" ref="H48">IF(OR(F48="ETP",F48="Open-End Fund"),_xll.BDP($B48,"FD121"),"")</f>
        <v>Equity</v>
      </c>
      <c r="I48" t="str" cm="1">
        <f t="array" ref="I48">IF(OR(F48="ETP",F48="Open-End Fund"),_xll.BDP($B48,"Fund_Objective_Long"),"")</f>
        <v>US</v>
      </c>
      <c r="K48" t="str">
        <f t="shared" si="0"/>
        <v>Ishares Core S&amp;P 500</v>
      </c>
    </row>
    <row r="49" spans="1:11" x14ac:dyDescent="0.25">
      <c r="A49" t="s">
        <v>47</v>
      </c>
      <c r="B49" t="str" cm="1">
        <f t="array" ref="B49">_xll.BQL($A49&amp;" Equity", "BB_Default_Risk_Obligor_Ticker")</f>
        <v>MUZSDEA ID Equity</v>
      </c>
      <c r="C49" t="str" cm="1">
        <f t="array" ref="C49">_xll.BDP($A49&amp;" Equity","Name")</f>
        <v>MUZINICH SHORT DUR HG YD-HGI</v>
      </c>
      <c r="D49" t="str" cm="1">
        <f t="array" ref="D49">_xll.BQL($A49, "Crncy")</f>
        <v>GBP</v>
      </c>
      <c r="E49" t="str" cm="1">
        <f t="array" ref="E49">_xll.BDP(B49,"ex028")</f>
        <v>Fund</v>
      </c>
      <c r="F49" t="str" cm="1">
        <f t="array" ref="F49">_xll.BDP($B49,"Security_Typ")</f>
        <v>Open-End Fund</v>
      </c>
      <c r="G49" t="str" cm="1">
        <f t="array" ref="G49">_xll.BDP($B49,"Gics_Sector_Name")</f>
        <v>#N/A N/A</v>
      </c>
      <c r="H49" t="str" cm="1">
        <f t="array" ref="H49">IF(OR(F49="ETP",F49="Open-End Fund"),_xll.BDP($B49,"FD121"),"")</f>
        <v>Fixed Income</v>
      </c>
      <c r="I49" t="str" cm="1">
        <f t="array" ref="I49">IF(OR(F49="ETP",F49="Open-End Fund"),_xll.BDP($B49,"Fund_Objective_Long"),"")</f>
        <v>High Yield Bond</v>
      </c>
      <c r="K49" t="str">
        <f t="shared" si="0"/>
        <v>Muzinich Short Dur Hg Yd-Hgi</v>
      </c>
    </row>
    <row r="50" spans="1:11" x14ac:dyDescent="0.25">
      <c r="A50" t="s">
        <v>48</v>
      </c>
      <c r="B50" t="str" cm="1">
        <f t="array" ref="B50">_xll.BQL($A50&amp;" Equity", "BB_Default_Risk_Obligor_Ticker")</f>
        <v>MUZSDEA ID Equity</v>
      </c>
      <c r="C50" t="str" cm="1">
        <f t="array" ref="C50">_xll.BDP($A50&amp;" Equity","Name")</f>
        <v>MUZINICH SD HY-HD EU IN H</v>
      </c>
      <c r="D50" t="str" cm="1">
        <f t="array" ref="D50">_xll.BQL($A50, "Crncy")</f>
        <v>EUR</v>
      </c>
      <c r="E50" t="str" cm="1">
        <f t="array" ref="E50">_xll.BDP(B50,"ex028")</f>
        <v>Fund</v>
      </c>
      <c r="F50" t="str" cm="1">
        <f t="array" ref="F50">_xll.BDP($B50,"Security_Typ")</f>
        <v>Open-End Fund</v>
      </c>
      <c r="G50" t="str" cm="1">
        <f t="array" ref="G50">_xll.BDP($B50,"Gics_Sector_Name")</f>
        <v>#N/A N/A</v>
      </c>
      <c r="H50" t="str" cm="1">
        <f t="array" ref="H50">IF(OR(F50="ETP",F50="Open-End Fund"),_xll.BDP($B50,"FD121"),"")</f>
        <v>Fixed Income</v>
      </c>
      <c r="I50" t="str" cm="1">
        <f t="array" ref="I50">IF(OR(F50="ETP",F50="Open-End Fund"),_xll.BDP($B50,"Fund_Objective_Long"),"")</f>
        <v>High Yield Bond</v>
      </c>
      <c r="K50" t="str">
        <f t="shared" si="0"/>
        <v>Muzinich Sd Hy-Hd Eu In H</v>
      </c>
    </row>
    <row r="51" spans="1:11" x14ac:dyDescent="0.25">
      <c r="A51" t="s">
        <v>49</v>
      </c>
      <c r="B51" t="str" cm="1">
        <f t="array" ref="B51">_xll.BQL($A51&amp;" Equity", "BB_Default_Risk_Obligor_Ticker")</f>
        <v>LARAMYA ID Equity</v>
      </c>
      <c r="C51" t="str" cm="1">
        <f t="array" ref="C51">_xll.BDP($A51&amp;" Equity","Name")</f>
        <v>MUZIN-AMERICAYIELD-EUR ACC-H</v>
      </c>
      <c r="D51" t="str" cm="1">
        <f t="array" ref="D51">_xll.BQL($A51, "Crncy")</f>
        <v>EUR</v>
      </c>
      <c r="E51" t="str" cm="1">
        <f t="array" ref="E51">_xll.BDP(B51,"ex028")</f>
        <v>Fund</v>
      </c>
      <c r="F51" t="str" cm="1">
        <f t="array" ref="F51">_xll.BDP($B51,"Security_Typ")</f>
        <v>Open-End Fund</v>
      </c>
      <c r="G51" t="str" cm="1">
        <f t="array" ref="G51">_xll.BDP($B51,"Gics_Sector_Name")</f>
        <v>#N/A N/A</v>
      </c>
      <c r="H51" t="str" cm="1">
        <f t="array" ref="H51">IF(OR(F51="ETP",F51="Open-End Fund"),_xll.BDP($B51,"FD121"),"")</f>
        <v>Fixed Income</v>
      </c>
      <c r="I51" t="str" cm="1">
        <f t="array" ref="I51">IF(OR(F51="ETP",F51="Open-End Fund"),_xll.BDP($B51,"Fund_Objective_Long"),"")</f>
        <v>High Yield Bond</v>
      </c>
      <c r="K51" t="str">
        <f t="shared" si="0"/>
        <v>Muzin-Americayield-Eur Acc-H</v>
      </c>
    </row>
    <row r="52" spans="1:11" x14ac:dyDescent="0.25">
      <c r="A52" t="s">
        <v>50</v>
      </c>
      <c r="B52" t="str" cm="1">
        <f t="array" ref="B52">_xll.BQL($A52&amp;" Equity", "BB_Default_Risk_Obligor_Ticker")</f>
        <v>MUZSDEA ID Equity</v>
      </c>
      <c r="C52" t="str" cm="1">
        <f t="array" ref="C52">_xll.BDP($A52&amp;" Equity","Name")</f>
        <v>MUZINICH SHORT DUR H/Y-HEAH</v>
      </c>
      <c r="D52" t="str" cm="1">
        <f t="array" ref="D52">_xll.BQL($A52, "Crncy")</f>
        <v>EUR</v>
      </c>
      <c r="E52" t="str" cm="1">
        <f t="array" ref="E52">_xll.BDP(B52,"ex028")</f>
        <v>Fund</v>
      </c>
      <c r="F52" t="str" cm="1">
        <f t="array" ref="F52">_xll.BDP($B52,"Security_Typ")</f>
        <v>Open-End Fund</v>
      </c>
      <c r="G52" t="str" cm="1">
        <f t="array" ref="G52">_xll.BDP($B52,"Gics_Sector_Name")</f>
        <v>#N/A N/A</v>
      </c>
      <c r="H52" t="str" cm="1">
        <f t="array" ref="H52">IF(OR(F52="ETP",F52="Open-End Fund"),_xll.BDP($B52,"FD121"),"")</f>
        <v>Fixed Income</v>
      </c>
      <c r="I52" t="str" cm="1">
        <f t="array" ref="I52">IF(OR(F52="ETP",F52="Open-End Fund"),_xll.BDP($B52,"Fund_Objective_Long"),"")</f>
        <v>High Yield Bond</v>
      </c>
      <c r="K52" t="str">
        <f t="shared" si="0"/>
        <v>Muzinich Short Dur H/Y-Heah</v>
      </c>
    </row>
    <row r="53" spans="1:11" x14ac:dyDescent="0.25">
      <c r="A53" t="s">
        <v>51</v>
      </c>
      <c r="B53" t="str" cm="1">
        <f t="array" ref="B53">_xll.BQL($A53&amp;" Equity", "BB_Default_Risk_Obligor_Ticker")</f>
        <v>EMBE LN Equity</v>
      </c>
      <c r="C53" t="str" cm="1">
        <f t="array" ref="C53">_xll.BDP($A53&amp;" Equity","Name")</f>
        <v>ISHARES JPM USD EM BND EUR-H</v>
      </c>
      <c r="D53" t="str" cm="1">
        <f t="array" ref="D53">_xll.BQL($A53, "Crncy")</f>
        <v>EUR</v>
      </c>
      <c r="E53" t="str" cm="1">
        <f t="array" ref="E53">_xll.BDP(B53,"ex028")</f>
        <v>Fund</v>
      </c>
      <c r="F53" t="str" cm="1">
        <f t="array" ref="F53">_xll.BDP($B53,"Security_Typ")</f>
        <v>ETP</v>
      </c>
      <c r="G53" t="str" cm="1">
        <f t="array" ref="G53">_xll.BDP($B53,"Gics_Sector_Name")</f>
        <v>#N/A N/A</v>
      </c>
      <c r="H53" t="str" cm="1">
        <f t="array" ref="H53">IF(OR(F53="ETP",F53="Open-End Fund"),_xll.BDP($B53,"FD121"),"")</f>
        <v>Fixed Income</v>
      </c>
      <c r="I53" t="str" cm="1">
        <f t="array" ref="I53">IF(OR(F53="ETP",F53="Open-End Fund"),_xll.BDP($B53,"Fund_Objective_Long"),"")</f>
        <v>Fixed Income Emerging Market</v>
      </c>
      <c r="K53" t="str">
        <f t="shared" si="0"/>
        <v>Ishares Jpm Usd Em Bnd Eur-H</v>
      </c>
    </row>
    <row r="54" spans="1:11" x14ac:dyDescent="0.25">
      <c r="A54" t="s">
        <v>52</v>
      </c>
      <c r="B54" t="str" cm="1">
        <f t="array" ref="B54">_xll.BQL($A54&amp;" Equity", "BB_Default_Risk_Obligor_Ticker")</f>
        <v>MLAQSEI ID Equity</v>
      </c>
      <c r="C54" t="str" cm="1">
        <f t="array" ref="C54">_xll.BDP($A54&amp;" Equity","Name")</f>
        <v>ML ALPHAQUEST UCIT-EUR INST</v>
      </c>
      <c r="D54" t="str" cm="1">
        <f t="array" ref="D54">_xll.BQL($A54, "Crncy")</f>
        <v>EUR</v>
      </c>
      <c r="E54" t="str" cm="1">
        <f t="array" ref="E54">_xll.BDP(B54,"ex028")</f>
        <v>Fund</v>
      </c>
      <c r="F54" t="str" cm="1">
        <f t="array" ref="F54">_xll.BDP($B54,"Security_Typ")</f>
        <v>Open-End Fund</v>
      </c>
      <c r="G54" t="str" cm="1">
        <f t="array" ref="G54">_xll.BDP($B54,"Gics_Sector_Name")</f>
        <v>#N/A N/A</v>
      </c>
      <c r="H54" t="str" cm="1">
        <f t="array" ref="H54">IF(OR(F54="ETP",F54="Open-End Fund"),_xll.BDP($B54,"FD121"),"")</f>
        <v>Alternative</v>
      </c>
      <c r="I54" t="str" cm="1">
        <f t="array" ref="I54">IF(OR(F54="ETP",F54="Open-End Fund"),_xll.BDP($B54,"Fund_Objective_Long"),"")</f>
        <v>#N/A N/A</v>
      </c>
      <c r="K54" t="str">
        <f t="shared" si="0"/>
        <v>Ml Alphaquest Ucit-Eur Inst</v>
      </c>
    </row>
    <row r="55" spans="1:11" x14ac:dyDescent="0.25">
      <c r="A55" t="s">
        <v>53</v>
      </c>
      <c r="B55" t="str" cm="1">
        <f t="array" ref="B55">_xll.BQL($A55&amp;" Equity", "BB_Default_Risk_Obligor_Ticker")</f>
        <v>MLAQSEI ID Equity</v>
      </c>
      <c r="C55" t="str" cm="1">
        <f t="array" ref="C55">_xll.BDP($A55&amp;" Equity","Name")</f>
        <v>ML ALPHAQUEST UCIT-CHF INST</v>
      </c>
      <c r="D55" t="str" cm="1">
        <f t="array" ref="D55">_xll.BQL($A55, "Crncy")</f>
        <v>CHF</v>
      </c>
      <c r="E55" t="str" cm="1">
        <f t="array" ref="E55">_xll.BDP(B55,"ex028")</f>
        <v>Fund</v>
      </c>
      <c r="F55" t="str" cm="1">
        <f t="array" ref="F55">_xll.BDP($B55,"Security_Typ")</f>
        <v>Open-End Fund</v>
      </c>
      <c r="G55" t="str" cm="1">
        <f t="array" ref="G55">_xll.BDP($B55,"Gics_Sector_Name")</f>
        <v>#N/A N/A</v>
      </c>
      <c r="H55" t="str" cm="1">
        <f t="array" ref="H55">IF(OR(F55="ETP",F55="Open-End Fund"),_xll.BDP($B55,"FD121"),"")</f>
        <v>Alternative</v>
      </c>
      <c r="I55" t="str" cm="1">
        <f t="array" ref="I55">IF(OR(F55="ETP",F55="Open-End Fund"),_xll.BDP($B55,"Fund_Objective_Long"),"")</f>
        <v>#N/A N/A</v>
      </c>
      <c r="K55" t="str">
        <f t="shared" si="0"/>
        <v>Ml Alphaquest Ucit-Chf Inst</v>
      </c>
    </row>
    <row r="56" spans="1:11" x14ac:dyDescent="0.25">
      <c r="A56" t="s">
        <v>54</v>
      </c>
      <c r="B56" t="str" cm="1">
        <f t="array" ref="B56">_xll.BQL($A56&amp;" Equity", "BB_Default_Risk_Obligor_Ticker")</f>
        <v>MECHEAF ID Equity</v>
      </c>
      <c r="C56" t="str" cm="1">
        <f t="array" ref="C56">_xll.BDP($A56&amp;" Equity","Name")</f>
        <v>MUZINICH EU CRE AL-HEURA FDR</v>
      </c>
      <c r="D56" t="str" cm="1">
        <f t="array" ref="D56">_xll.BQL($A56, "Crncy")</f>
        <v>EUR</v>
      </c>
      <c r="E56" t="str" cm="1">
        <f t="array" ref="E56">_xll.BDP(B56,"ex028")</f>
        <v>Fund</v>
      </c>
      <c r="F56" t="str" cm="1">
        <f t="array" ref="F56">_xll.BDP($B56,"Security_Typ")</f>
        <v>Open-End Fund</v>
      </c>
      <c r="G56" t="str" cm="1">
        <f t="array" ref="G56">_xll.BDP($B56,"Gics_Sector_Name")</f>
        <v>#N/A N/A</v>
      </c>
      <c r="H56" t="str" cm="1">
        <f t="array" ref="H56">IF(OR(F56="ETP",F56="Open-End Fund"),_xll.BDP($B56,"FD121"),"")</f>
        <v>Alternative</v>
      </c>
      <c r="I56" t="str" cm="1">
        <f t="array" ref="I56">IF(OR(F56="ETP",F56="Open-End Fund"),_xll.BDP($B56,"Fund_Objective_Long"),"")</f>
        <v>Fixed Income Diversified</v>
      </c>
      <c r="K56" t="str">
        <f t="shared" si="0"/>
        <v>Muzinich Eu Cre Al-Heura Fdr</v>
      </c>
    </row>
    <row r="57" spans="1:11" x14ac:dyDescent="0.25">
      <c r="A57" t="s">
        <v>55</v>
      </c>
      <c r="B57" t="str" cm="1">
        <f t="array" ref="B57">_xll.BQL($A57&amp;" Equity", "BB_Default_Risk_Obligor_Ticker")</f>
        <v>MUZGDIC ID Equity</v>
      </c>
      <c r="C57" t="str" cm="1">
        <f t="array" ref="C57">_xll.BDP($A57&amp;" Equity","Name")</f>
        <v>MUZIN-GLOB SHT DUR INV GR-HE</v>
      </c>
      <c r="D57" t="str" cm="1">
        <f t="array" ref="D57">_xll.BQL($A57, "Crncy")</f>
        <v>EUR</v>
      </c>
      <c r="E57" t="str" cm="1">
        <f t="array" ref="E57">_xll.BDP(B57,"ex028")</f>
        <v>Fund</v>
      </c>
      <c r="F57" t="str" cm="1">
        <f t="array" ref="F57">_xll.BDP($B57,"Security_Typ")</f>
        <v>Open-End Fund</v>
      </c>
      <c r="G57" t="str" cm="1">
        <f t="array" ref="G57">_xll.BDP($B57,"Gics_Sector_Name")</f>
        <v>#N/A N/A</v>
      </c>
      <c r="H57" t="str" cm="1">
        <f t="array" ref="H57">IF(OR(F57="ETP",F57="Open-End Fund"),_xll.BDP($B57,"FD121"),"")</f>
        <v>Fixed Income</v>
      </c>
      <c r="I57" t="str" cm="1">
        <f t="array" ref="I57">IF(OR(F57="ETP",F57="Open-End Fund"),_xll.BDP($B57,"Fund_Objective_Long"),"")</f>
        <v>Short Term Corporate Bond</v>
      </c>
      <c r="K57" t="str">
        <f t="shared" si="0"/>
        <v>Muzin-Glob Sht Dur Inv Gr-He</v>
      </c>
    </row>
    <row r="58" spans="1:11" x14ac:dyDescent="0.25">
      <c r="A58" t="s">
        <v>56</v>
      </c>
      <c r="B58" t="str" cm="1">
        <f t="array" ref="B58">_xll.BQL($A58&amp;" Equity", "BB_Default_Risk_Obligor_Ticker")</f>
        <v>MUZGDIC ID Equity</v>
      </c>
      <c r="C58" t="str" cm="1">
        <f t="array" ref="C58">_xll.BDP($A58&amp;" Equity","Name")</f>
        <v>MUZIN-GLOB SHT DUR IN-HEURAH</v>
      </c>
      <c r="D58" t="str" cm="1">
        <f t="array" ref="D58">_xll.BQL($A58, "Crncy")</f>
        <v>EUR</v>
      </c>
      <c r="E58" t="str" cm="1">
        <f t="array" ref="E58">_xll.BDP(B58,"ex028")</f>
        <v>Fund</v>
      </c>
      <c r="F58" t="str" cm="1">
        <f t="array" ref="F58">_xll.BDP($B58,"Security_Typ")</f>
        <v>Open-End Fund</v>
      </c>
      <c r="G58" t="str" cm="1">
        <f t="array" ref="G58">_xll.BDP($B58,"Gics_Sector_Name")</f>
        <v>#N/A N/A</v>
      </c>
      <c r="H58" t="str" cm="1">
        <f t="array" ref="H58">IF(OR(F58="ETP",F58="Open-End Fund"),_xll.BDP($B58,"FD121"),"")</f>
        <v>Fixed Income</v>
      </c>
      <c r="I58" t="str" cm="1">
        <f t="array" ref="I58">IF(OR(F58="ETP",F58="Open-End Fund"),_xll.BDP($B58,"Fund_Objective_Long"),"")</f>
        <v>Short Term Corporate Bond</v>
      </c>
      <c r="K58" t="str">
        <f t="shared" si="0"/>
        <v>Muzin-Glob Sht Dur In-Heurah</v>
      </c>
    </row>
    <row r="59" spans="1:11" x14ac:dyDescent="0.25">
      <c r="A59" t="s">
        <v>57</v>
      </c>
      <c r="B59" t="str" cm="1">
        <f t="array" ref="B59">_xll.BQL($A59&amp;" Equity", "BB_Default_Risk_Obligor_Ticker")</f>
        <v>CBEEIFP ID Equity</v>
      </c>
      <c r="C59" t="str" cm="1">
        <f t="array" ref="C59">_xll.BDP($A59&amp;" Equity","Name")</f>
        <v>CORUM BUTLER EUR H/Y-EUR IFP</v>
      </c>
      <c r="D59" t="str" cm="1">
        <f t="array" ref="D59">_xll.BQL($A59, "Crncy")</f>
        <v>EUR</v>
      </c>
      <c r="E59" t="str" cm="1">
        <f t="array" ref="E59">_xll.BDP(B59,"ex028")</f>
        <v>Fund</v>
      </c>
      <c r="F59" t="str" cm="1">
        <f t="array" ref="F59">_xll.BDP($B59,"Security_Typ")</f>
        <v>Open-End Fund</v>
      </c>
      <c r="G59" t="str" cm="1">
        <f t="array" ref="G59">_xll.BDP($B59,"Gics_Sector_Name")</f>
        <v>#N/A N/A</v>
      </c>
      <c r="H59" t="str" cm="1">
        <f t="array" ref="H59">IF(OR(F59="ETP",F59="Open-End Fund"),_xll.BDP($B59,"FD121"),"")</f>
        <v>Fixed Income</v>
      </c>
      <c r="I59" t="str" cm="1">
        <f t="array" ref="I59">IF(OR(F59="ETP",F59="Open-End Fund"),_xll.BDP($B59,"Fund_Objective_Long"),"")</f>
        <v>High Yield Bond</v>
      </c>
      <c r="K59" t="str">
        <f t="shared" si="0"/>
        <v>Corum Butler Eur H/Y-Eur Ifp</v>
      </c>
    </row>
    <row r="60" spans="1:11" x14ac:dyDescent="0.25">
      <c r="A60" t="s">
        <v>58</v>
      </c>
      <c r="B60" t="str" cm="1">
        <f t="array" ref="B60">_xll.BQL($A60&amp;" Equity", "BB_Default_Risk_Obligor_Ticker")</f>
        <v>BUCOFDE ID Equity</v>
      </c>
      <c r="C60" t="str" cm="1">
        <f t="array" ref="C60">_xll.BDP($A60&amp;" Equity","Name")</f>
        <v>BUTLER CREDIT OPPO FD-B P E</v>
      </c>
      <c r="D60" t="str" cm="1">
        <f t="array" ref="D60">_xll.BQL($A60, "Crncy")</f>
        <v>EUR</v>
      </c>
      <c r="E60" t="str" cm="1">
        <f t="array" ref="E60">_xll.BDP(B60,"ex028")</f>
        <v>Fund</v>
      </c>
      <c r="F60" t="str" cm="1">
        <f t="array" ref="F60">_xll.BDP($B60,"Security_Typ")</f>
        <v>Open-End Fund</v>
      </c>
      <c r="G60" t="str" cm="1">
        <f t="array" ref="G60">_xll.BDP($B60,"Gics_Sector_Name")</f>
        <v>#N/A N/A</v>
      </c>
      <c r="H60" t="str" cm="1">
        <f t="array" ref="H60">IF(OR(F60="ETP",F60="Open-End Fund"),_xll.BDP($B60,"FD121"),"")</f>
        <v>Alternative</v>
      </c>
      <c r="I60" t="str" cm="1">
        <f t="array" ref="I60">IF(OR(F60="ETP",F60="Open-End Fund"),_xll.BDP($B60,"Fund_Objective_Long"),"")</f>
        <v>Fixed Income Diversified</v>
      </c>
      <c r="K60" t="str">
        <f t="shared" si="0"/>
        <v>Butler Credit Oppo Fd-B P E</v>
      </c>
    </row>
    <row r="61" spans="1:11" x14ac:dyDescent="0.25">
      <c r="A61" t="s">
        <v>59</v>
      </c>
      <c r="B61" t="str" cm="1">
        <f t="array" ref="B61">_xll.BQL($A61&amp;" Equity", "BB_Default_Risk_Obligor_Ticker")</f>
        <v>TLIQFAC ID Equity</v>
      </c>
      <c r="C61" t="str" cm="1">
        <f t="array" ref="C61">_xll.BDP($A61&amp;" Equity","Name")</f>
        <v>TBCP LQD CR INC UCI FN-A EUR</v>
      </c>
      <c r="D61" t="str" cm="1">
        <f t="array" ref="D61">_xll.BQL($A61, "Crncy")</f>
        <v>EUR</v>
      </c>
      <c r="E61" t="str" cm="1">
        <f t="array" ref="E61">_xll.BDP(B61,"ex028")</f>
        <v>Fund</v>
      </c>
      <c r="F61" t="str" cm="1">
        <f t="array" ref="F61">_xll.BDP($B61,"Security_Typ")</f>
        <v>Open-End Fund</v>
      </c>
      <c r="G61" t="str" cm="1">
        <f t="array" ref="G61">_xll.BDP($B61,"Gics_Sector_Name")</f>
        <v>#N/A N/A</v>
      </c>
      <c r="H61" t="str" cm="1">
        <f t="array" ref="H61">IF(OR(F61="ETP",F61="Open-End Fund"),_xll.BDP($B61,"FD121"),"")</f>
        <v>Fixed Income</v>
      </c>
      <c r="I61" t="str" cm="1">
        <f t="array" ref="I61">IF(OR(F61="ETP",F61="Open-End Fund"),_xll.BDP($B61,"Fund_Objective_Long"),"")</f>
        <v>Multiple Region</v>
      </c>
      <c r="K61" t="str">
        <f t="shared" si="0"/>
        <v>Tbcp Lqd Cr Inc Uci Fn-A Eur</v>
      </c>
    </row>
    <row r="62" spans="1:11" x14ac:dyDescent="0.25">
      <c r="A62" t="s">
        <v>60</v>
      </c>
      <c r="B62" t="str" cm="1">
        <f t="array" ref="B62">_xll.BQL($A62&amp;" Equity", "BB_Default_Risk_Obligor_Ticker")</f>
        <v>ENEL IM Equity</v>
      </c>
      <c r="C62" t="str" cm="1">
        <f t="array" ref="C62">_xll.BDP($A62&amp;" Equity","Name")</f>
        <v>ENEL SPA</v>
      </c>
      <c r="D62" t="str" cm="1">
        <f t="array" ref="D62">_xll.BQL($A62, "Crncy")</f>
        <v>EUR</v>
      </c>
      <c r="E62" t="str" cm="1">
        <f t="array" ref="E62">_xll.BDP(B62,"ex028")</f>
        <v>Equity</v>
      </c>
      <c r="F62" t="str" cm="1">
        <f t="array" ref="F62">_xll.BDP($B62,"Security_Typ")</f>
        <v>Common Stock</v>
      </c>
      <c r="G62" t="str" cm="1">
        <f t="array" ref="G62">_xll.BDP($B62,"Gics_Sector_Name")</f>
        <v>Utilities</v>
      </c>
      <c r="H62" t="str" cm="1">
        <f t="array" ref="H62">IF(OR(F62="ETP",F62="Open-End Fund"),_xll.BDP($B62,"FD121"),"")</f>
        <v/>
      </c>
      <c r="I62" t="str" cm="1">
        <f t="array" ref="I62">IF(OR(F62="ETP",F62="Open-End Fund"),_xll.BDP($B62,"Fund_Objective_Long"),"")</f>
        <v/>
      </c>
      <c r="K62" t="str">
        <f t="shared" si="0"/>
        <v>Enel Spa</v>
      </c>
    </row>
    <row r="63" spans="1:11" x14ac:dyDescent="0.25">
      <c r="A63" t="s">
        <v>61</v>
      </c>
      <c r="B63" t="str" cm="1">
        <f t="array" ref="B63">_xll.BQL($A63&amp;" Equity", "BB_Default_Risk_Obligor_Ticker")</f>
        <v>PHAU LN Equity</v>
      </c>
      <c r="C63" t="str" cm="1">
        <f t="array" ref="C63">_xll.BDP($A63&amp;" Equity","Name")</f>
        <v>WISDOMTREE PHYSICAL GOLD</v>
      </c>
      <c r="D63" t="str" cm="1">
        <f t="array" ref="D63">_xll.BQL($A63, "Crncy")</f>
        <v>USD</v>
      </c>
      <c r="E63" t="str" cm="1">
        <f t="array" ref="E63">_xll.BDP(B63,"ex028")</f>
        <v>Fund</v>
      </c>
      <c r="F63" t="str" cm="1">
        <f t="array" ref="F63">_xll.BDP($B63,"Security_Typ")</f>
        <v>ETP</v>
      </c>
      <c r="G63" t="str" cm="1">
        <f t="array" ref="G63">_xll.BDP($B63,"Gics_Sector_Name")</f>
        <v>#N/A N/A</v>
      </c>
      <c r="H63" t="str" cm="1">
        <f t="array" ref="H63">IF(OR(F63="ETP",F63="Open-End Fund"),_xll.BDP($B63,"FD121"),"")</f>
        <v>Commodity</v>
      </c>
      <c r="I63" t="str" cm="1">
        <f t="array" ref="I63">IF(OR(F63="ETP",F63="Open-End Fund"),_xll.BDP($B63,"Fund_Objective_Long"),"")</f>
        <v>Precious Metals</v>
      </c>
      <c r="K63" t="str">
        <f t="shared" si="0"/>
        <v>Wisdomtree Physical Gold</v>
      </c>
    </row>
    <row r="64" spans="1:11" x14ac:dyDescent="0.25">
      <c r="A64" t="s">
        <v>62</v>
      </c>
      <c r="B64" t="str" cm="1">
        <f t="array" ref="B64">_xll.BQL($A64&amp;" Equity", "BB_Default_Risk_Obligor_Ticker")</f>
        <v>ARGIFEE LX Equity</v>
      </c>
      <c r="C64" t="str" cm="1">
        <f t="array" ref="C64">_xll.BDP($A64&amp;" Equity","Name")</f>
        <v>QCF LUX-ARGONAUT-A EUR</v>
      </c>
      <c r="D64" t="str" cm="1">
        <f t="array" ref="D64">_xll.BQL($A64, "Crncy")</f>
        <v>EUR</v>
      </c>
      <c r="E64" t="str" cm="1">
        <f t="array" ref="E64">_xll.BDP(B64,"ex028")</f>
        <v>Fund</v>
      </c>
      <c r="F64" t="str" cm="1">
        <f t="array" ref="F64">_xll.BDP($B64,"Security_Typ")</f>
        <v>Open-End Fund</v>
      </c>
      <c r="G64" t="str" cm="1">
        <f t="array" ref="G64">_xll.BDP($B64,"Gics_Sector_Name")</f>
        <v>#N/A N/A</v>
      </c>
      <c r="H64" t="str" cm="1">
        <f t="array" ref="H64">IF(OR(F64="ETP",F64="Open-End Fund"),_xll.BDP($B64,"FD121"),"")</f>
        <v>Equity</v>
      </c>
      <c r="I64" t="str" cm="1">
        <f t="array" ref="I64">IF(OR(F64="ETP",F64="Open-End Fund"),_xll.BDP($B64,"Fund_Objective_Long"),"")</f>
        <v>European Region</v>
      </c>
      <c r="K64" t="str">
        <f t="shared" si="0"/>
        <v>Qcf Lux-Argonaut-A Eur</v>
      </c>
    </row>
    <row r="65" spans="1:14" x14ac:dyDescent="0.25">
      <c r="A65" t="s">
        <v>63</v>
      </c>
      <c r="B65" t="str" cm="1">
        <f t="array" ref="B65">_xll.BQL($A65&amp;" Equity", "BB_Default_Risk_Obligor_Ticker")</f>
        <v>AREIIAA LX Equity</v>
      </c>
      <c r="C65" t="str" cm="1">
        <f t="array" ref="C65">_xll.BDP($A65&amp;" Equity","Name")</f>
        <v>ARC FD-EUR INC-ESG SL-BA</v>
      </c>
      <c r="D65" t="str" cm="1">
        <f t="array" ref="D65">_xll.BQL($A65, "Crncy")</f>
        <v>EUR</v>
      </c>
      <c r="E65" t="str" cm="1">
        <f t="array" ref="E65">_xll.BDP(B65,"ex028")</f>
        <v>Fund</v>
      </c>
      <c r="F65" t="str" cm="1">
        <f t="array" ref="F65">_xll.BDP($B65,"Security_Typ")</f>
        <v>Open-End Fund</v>
      </c>
      <c r="G65" t="str" cm="1">
        <f t="array" ref="G65">_xll.BDP($B65,"Gics_Sector_Name")</f>
        <v>#N/A N/A</v>
      </c>
      <c r="H65" t="str" cm="1">
        <f t="array" ref="H65">IF(OR(F65="ETP",F65="Open-End Fund"),_xll.BDP($B65,"FD121"),"")</f>
        <v>Fixed Income</v>
      </c>
      <c r="I65" t="str" cm="1">
        <f t="array" ref="I65">IF(OR(F65="ETP",F65="Open-End Fund"),_xll.BDP($B65,"Fund_Objective_Long"),"")</f>
        <v>High Yield Bond</v>
      </c>
      <c r="K65" t="str">
        <f t="shared" si="0"/>
        <v>Arc Fd-Eur Inc-Esg Sl-Ba</v>
      </c>
    </row>
    <row r="66" spans="1:14" x14ac:dyDescent="0.25">
      <c r="A66" t="s">
        <v>64</v>
      </c>
      <c r="B66" t="str" cm="1">
        <f t="array" ref="B66">_xll.BQL($A66&amp;" Equity", "BB_Default_Risk_Obligor_Ticker")</f>
        <v>MEUD LN Equity</v>
      </c>
      <c r="C66" t="str" cm="1">
        <f t="array" ref="C66">_xll.BDP($A66&amp;" Equity","Name")</f>
        <v>LYXOR CORE EURSTX 600 DR</v>
      </c>
      <c r="D66" t="str" cm="1">
        <f t="array" ref="D66">_xll.BQL($A66, "Crncy")</f>
        <v>GBp</v>
      </c>
      <c r="E66" t="str" cm="1">
        <f t="array" ref="E66">_xll.BDP(B66,"ex028")</f>
        <v>Fund</v>
      </c>
      <c r="F66" t="str" cm="1">
        <f t="array" ref="F66">_xll.BDP($B66,"Security_Typ")</f>
        <v>ETP</v>
      </c>
      <c r="G66" t="str" cm="1">
        <f t="array" ref="G66">_xll.BDP($B66,"Gics_Sector_Name")</f>
        <v>#N/A N/A</v>
      </c>
      <c r="H66" t="str" cm="1">
        <f t="array" ref="H66">IF(OR(F66="ETP",F66="Open-End Fund"),_xll.BDP($B66,"FD121"),"")</f>
        <v>Equity</v>
      </c>
      <c r="I66" t="str" cm="1">
        <f t="array" ref="I66">IF(OR(F66="ETP",F66="Open-End Fund"),_xll.BDP($B66,"Fund_Objective_Long"),"")</f>
        <v>European Region</v>
      </c>
      <c r="K66" t="str">
        <f t="shared" si="0"/>
        <v>Lyxor Core Eurstx 600 Dr</v>
      </c>
    </row>
    <row r="67" spans="1:14" x14ac:dyDescent="0.25">
      <c r="A67" t="s">
        <v>65</v>
      </c>
      <c r="B67" t="str" cm="1">
        <f t="array" ref="B67">_xll.BQL($A67&amp;" Equity", "BB_Default_Risk_Obligor_Ticker")</f>
        <v>AREIIAA LX Equity</v>
      </c>
      <c r="C67" t="str" cm="1">
        <f t="array" ref="C67">_xll.BDP($A67&amp;" Equity","Name")</f>
        <v>ARC FD-EUR INC-ESG SL-HA</v>
      </c>
      <c r="D67" t="str" cm="1">
        <f t="array" ref="D67">_xll.BQL($A67, "Crncy")</f>
        <v>CHF</v>
      </c>
      <c r="E67" t="str" cm="1">
        <f t="array" ref="E67">_xll.BDP(B67,"ex028")</f>
        <v>Fund</v>
      </c>
      <c r="F67" t="str" cm="1">
        <f t="array" ref="F67">_xll.BDP($B67,"Security_Typ")</f>
        <v>Open-End Fund</v>
      </c>
      <c r="G67" t="str" cm="1">
        <f t="array" ref="G67">_xll.BDP($B67,"Gics_Sector_Name")</f>
        <v>#N/A N/A</v>
      </c>
      <c r="H67" t="str" cm="1">
        <f t="array" ref="H67">IF(OR(F67="ETP",F67="Open-End Fund"),_xll.BDP($B67,"FD121"),"")</f>
        <v>Fixed Income</v>
      </c>
      <c r="I67" t="str" cm="1">
        <f t="array" ref="I67">IF(OR(F67="ETP",F67="Open-End Fund"),_xll.BDP($B67,"Fund_Objective_Long"),"")</f>
        <v>High Yield Bond</v>
      </c>
      <c r="K67" t="str">
        <f t="shared" si="0"/>
        <v>Arc Fd-Eur Inc-Esg Sl-Ha</v>
      </c>
    </row>
    <row r="68" spans="1:14" x14ac:dyDescent="0.25">
      <c r="A68" t="s">
        <v>66</v>
      </c>
      <c r="B68" t="str" cm="1">
        <f t="array" ref="B68">_xll.BQL($A68&amp;" Equity", "BB_Default_Risk_Obligor_Ticker")</f>
        <v>TITSDRE LX Equity</v>
      </c>
      <c r="C68" t="str" cm="1">
        <f t="array" ref="C68">_xll.BDP($A68&amp;" Equity","Name")</f>
        <v>TIKEHAU SHORT DURTIN-IRACEUR</v>
      </c>
      <c r="D68" t="str" cm="1">
        <f t="array" ref="D68">_xll.BQL($A68, "Crncy")</f>
        <v>EUR</v>
      </c>
      <c r="E68" t="str" cm="1">
        <f t="array" ref="E68">_xll.BDP(B68,"ex028")</f>
        <v>Fund</v>
      </c>
      <c r="F68" t="str" cm="1">
        <f t="array" ref="F68">_xll.BDP($B68,"Security_Typ")</f>
        <v>Open-End Fund</v>
      </c>
      <c r="G68" t="str" cm="1">
        <f t="array" ref="G68">_xll.BDP($B68,"Gics_Sector_Name")</f>
        <v>#N/A N/A</v>
      </c>
      <c r="H68" t="str" cm="1">
        <f t="array" ref="H68">IF(OR(F68="ETP",F68="Open-End Fund"),_xll.BDP($B68,"FD121"),"")</f>
        <v>Fixed Income</v>
      </c>
      <c r="I68" t="str" cm="1">
        <f t="array" ref="I68">IF(OR(F68="ETP",F68="Open-End Fund"),_xll.BDP($B68,"Fund_Objective_Long"),"")</f>
        <v>European Region</v>
      </c>
      <c r="K68" t="str">
        <f t="shared" si="0"/>
        <v>Tikehau Short Durtin-Iraceur</v>
      </c>
    </row>
    <row r="69" spans="1:14" x14ac:dyDescent="0.25">
      <c r="A69" t="s">
        <v>67</v>
      </c>
      <c r="B69" t="str" cm="1">
        <f t="array" ref="B69">_xll.BQL($A69&amp;" Equity", "BB_Default_Risk_Obligor_Ticker")</f>
        <v>ESLDILA LX Equity</v>
      </c>
      <c r="C69" t="str" cm="1">
        <f t="array" ref="C69">_xll.BDP($A69&amp;" Equity","Name")</f>
        <v>ESL DIRECT LENDING-A</v>
      </c>
      <c r="D69" t="str" cm="1">
        <f t="array" ref="D69">_xll.BQL($A69, "Crncy")</f>
        <v>EUR</v>
      </c>
      <c r="E69" t="str" cm="1">
        <f t="array" ref="E69">_xll.BDP(B69,"ex028")</f>
        <v>Fund</v>
      </c>
      <c r="F69" t="str" cm="1">
        <f t="array" ref="F69">_xll.BDP($B69,"Security_Typ")</f>
        <v>Open-End Fund</v>
      </c>
      <c r="G69" t="str" cm="1">
        <f t="array" ref="G69">_xll.BDP($B69,"Gics_Sector_Name")</f>
        <v>#N/A N/A</v>
      </c>
      <c r="H69" t="str" cm="1">
        <f t="array" ref="H69">IF(OR(F69="ETP",F69="Open-End Fund"),_xll.BDP($B69,"FD121"),"")</f>
        <v>Fixed Income</v>
      </c>
      <c r="I69" t="str" cm="1">
        <f t="array" ref="I69">IF(OR(F69="ETP",F69="Open-End Fund"),_xll.BDP($B69,"Fund_Objective_Long"),"")</f>
        <v>#N/A N/A</v>
      </c>
      <c r="K69" t="str">
        <f t="shared" ref="K69:K85" si="1">PROPER(C69)</f>
        <v>Esl Direct Lending-A</v>
      </c>
    </row>
    <row r="70" spans="1:14" x14ac:dyDescent="0.25">
      <c r="A70" t="s">
        <v>68</v>
      </c>
      <c r="B70" t="str" cm="1">
        <f t="array" ref="B70">_xll.BQL($A70&amp;" Equity", "BB_Default_Risk_Obligor_Ticker")</f>
        <v>LXALAEA LX Equity</v>
      </c>
      <c r="C70" t="str" cm="1">
        <f t="array" ref="C70">_xll.BDP($A70&amp;" Equity","Name")</f>
        <v>LUX SEL-ARCAN LW EUR IN-VEAP</v>
      </c>
      <c r="D70" t="str" cm="1">
        <f t="array" ref="D70">_xll.BQL($A70, "Crncy")</f>
        <v>EUR</v>
      </c>
      <c r="E70" t="str" cm="1">
        <f t="array" ref="E70">_xll.BDP(B70,"ex028")</f>
        <v>Fund</v>
      </c>
      <c r="F70" t="str" cm="1">
        <f t="array" ref="F70">_xll.BDP($B70,"Security_Typ")</f>
        <v>Open-End Fund</v>
      </c>
      <c r="G70" t="str" cm="1">
        <f t="array" ref="G70">_xll.BDP($B70,"Gics_Sector_Name")</f>
        <v>#N/A N/A</v>
      </c>
      <c r="H70" t="str" cm="1">
        <f t="array" ref="H70">IF(OR(F70="ETP",F70="Open-End Fund"),_xll.BDP($B70,"FD121"),"")</f>
        <v>Fixed Income</v>
      </c>
      <c r="I70" t="str" cm="1">
        <f t="array" ref="I70">IF(OR(F70="ETP",F70="Open-End Fund"),_xll.BDP($B70,"Fund_Objective_Long"),"")</f>
        <v>High Yield Bond</v>
      </c>
      <c r="K70" t="str">
        <f t="shared" si="1"/>
        <v>Lux Sel-Arcan Lw Eur In-Veap</v>
      </c>
    </row>
    <row r="71" spans="1:14" x14ac:dyDescent="0.25">
      <c r="A71" t="s">
        <v>69</v>
      </c>
      <c r="B71" t="str" cm="1">
        <f t="array" ref="B71">_xll.BQL($A71&amp;" Equity", "BB_Default_Risk_Obligor_Ticker")</f>
        <v>JPELISI LX Equity</v>
      </c>
      <c r="C71" t="str" cm="1">
        <f t="array" ref="C71">_xll.BDP($A71&amp;" Equity","Name")</f>
        <v>JPM EUR LIQ LVNAV-A ACC</v>
      </c>
      <c r="D71" t="str" cm="1">
        <f t="array" ref="D71">_xll.BQL($A71, "Crncy")</f>
        <v>EUR</v>
      </c>
      <c r="E71" t="str" cm="1">
        <f t="array" ref="E71">_xll.BDP(B71,"ex028")</f>
        <v>Fund</v>
      </c>
      <c r="F71" t="str" cm="1">
        <f t="array" ref="F71">_xll.BDP($B71,"Security_Typ")</f>
        <v>Open-End Fund</v>
      </c>
      <c r="G71" t="str" cm="1">
        <f t="array" ref="G71">_xll.BDP($B71,"Gics_Sector_Name")</f>
        <v>#N/A N/A</v>
      </c>
      <c r="H71" t="str" cm="1">
        <f t="array" ref="H71">IF(OR(F71="ETP",F71="Open-End Fund"),_xll.BDP($B71,"FD121"),"")</f>
        <v>Money Market</v>
      </c>
      <c r="I71" t="str" cm="1">
        <f t="array" ref="I71">IF(OR(F71="ETP",F71="Open-End Fund"),_xll.BDP($B71,"Fund_Objective_Long"),"")</f>
        <v>EURO Focused (Non-US)</v>
      </c>
      <c r="K71" t="str">
        <f t="shared" si="1"/>
        <v>Jpm Eur Liq Lvnav-A Acc</v>
      </c>
    </row>
    <row r="72" spans="1:14" x14ac:dyDescent="0.25">
      <c r="A72" t="s">
        <v>70</v>
      </c>
      <c r="B72" t="str" cm="1">
        <f t="array" ref="B72">_xll.BQL($A72&amp;" Equity", "BB_Default_Risk_Obligor_Ticker")</f>
        <v>JPMGLLX LX Equity</v>
      </c>
      <c r="C72" t="str" cm="1">
        <f t="array" ref="C72">_xll.BDP($A72&amp;" Equity","Name")</f>
        <v>JPM GBP LIQ LVNAV-C ACC</v>
      </c>
      <c r="D72" t="str" cm="1">
        <f t="array" ref="D72">_xll.BQL($A72, "Crncy")</f>
        <v>GBP</v>
      </c>
      <c r="E72" t="str" cm="1">
        <f t="array" ref="E72">_xll.BDP(B72,"ex028")</f>
        <v>Fund</v>
      </c>
      <c r="F72" t="str" cm="1">
        <f t="array" ref="F72">_xll.BDP($B72,"Security_Typ")</f>
        <v>Open-End Fund</v>
      </c>
      <c r="G72" t="str" cm="1">
        <f t="array" ref="G72">_xll.BDP($B72,"Gics_Sector_Name")</f>
        <v>#N/A N/A</v>
      </c>
      <c r="H72" t="str" cm="1">
        <f t="array" ref="H72">IF(OR(F72="ETP",F72="Open-End Fund"),_xll.BDP($B72,"FD121"),"")</f>
        <v>Money Market</v>
      </c>
      <c r="I72" t="str" cm="1">
        <f t="array" ref="I72">IF(OR(F72="ETP",F72="Open-End Fund"),_xll.BDP($B72,"Fund_Objective_Long"),"")</f>
        <v>GBP Focused (Non-US)</v>
      </c>
      <c r="K72" t="str">
        <f t="shared" si="1"/>
        <v>Jpm Gbp Liq Lvnav-C Acc</v>
      </c>
    </row>
    <row r="73" spans="1:14" x14ac:dyDescent="0.25">
      <c r="A73" t="s">
        <v>71</v>
      </c>
      <c r="B73" t="str" cm="1">
        <f t="array" ref="B73">_xll.BQL($A73&amp;" Equity", "BB_Default_Risk_Obligor_Ticker")</f>
        <v>JPMULLW LX Equity</v>
      </c>
      <c r="C73" t="str" cm="1">
        <f t="array" ref="C73">_xll.BDP($A73&amp;" Equity","Name")</f>
        <v>JPM USD LIQ LVNAV-A ACC</v>
      </c>
      <c r="D73" t="str" cm="1">
        <f t="array" ref="D73">_xll.BQL($A73, "Crncy")</f>
        <v>USD</v>
      </c>
      <c r="E73" t="str" cm="1">
        <f t="array" ref="E73">_xll.BDP(B73,"ex028")</f>
        <v>Fund</v>
      </c>
      <c r="F73" t="str" cm="1">
        <f t="array" ref="F73">_xll.BDP($B73,"Security_Typ")</f>
        <v>Open-End Fund</v>
      </c>
      <c r="G73" t="str" cm="1">
        <f t="array" ref="G73">_xll.BDP($B73,"Gics_Sector_Name")</f>
        <v>#N/A N/A</v>
      </c>
      <c r="H73" t="str" cm="1">
        <f t="array" ref="H73">IF(OR(F73="ETP",F73="Open-End Fund"),_xll.BDP($B73,"FD121"),"")</f>
        <v>Money Market</v>
      </c>
      <c r="I73" t="str" cm="1">
        <f t="array" ref="I73">IF(OR(F73="ETP",F73="Open-End Fund"),_xll.BDP($B73,"Fund_Objective_Long"),"")</f>
        <v>USD Focused (Non-US)</v>
      </c>
      <c r="K73" t="str">
        <f t="shared" si="1"/>
        <v>Jpm Usd Liq Lvnav-A Acc</v>
      </c>
    </row>
    <row r="74" spans="1:14" x14ac:dyDescent="0.25">
      <c r="A74" t="s">
        <v>72</v>
      </c>
      <c r="B74" t="str" cm="1">
        <f t="array" ref="B74">_xll.BQL($A74&amp;" Equity", "BB_Default_Risk_Obligor_Ticker")</f>
        <v>DREQUIA LX Equity</v>
      </c>
      <c r="C74" t="str" cm="1">
        <f t="array" ref="C74">_xll.BDP($A74&amp;" Equity","Name")</f>
        <v>DHARMARESEARCH DR EQUITY-A</v>
      </c>
      <c r="D74" t="str" cm="1">
        <f t="array" ref="D74">_xll.BQL($A74, "Crncy")</f>
        <v>EUR</v>
      </c>
      <c r="E74" t="str" cm="1">
        <f t="array" ref="E74">_xll.BDP(B74,"ex028")</f>
        <v>Fund</v>
      </c>
      <c r="F74" t="str" cm="1">
        <f t="array" ref="F74">_xll.BDP($B74,"Security_Typ")</f>
        <v>Open-End Fund</v>
      </c>
      <c r="G74" t="str" cm="1">
        <f t="array" ref="G74">_xll.BDP($B74,"Gics_Sector_Name")</f>
        <v>#N/A N/A</v>
      </c>
      <c r="H74" t="str" cm="1">
        <f t="array" ref="H74">IF(OR(F74="ETP",F74="Open-End Fund"),_xll.BDP($B74,"FD121"),"")</f>
        <v>Equity</v>
      </c>
      <c r="I74" t="str" cm="1">
        <f t="array" ref="I74">IF(OR(F74="ETP",F74="Open-End Fund"),_xll.BDP($B74,"Fund_Objective_Long"),"")</f>
        <v>Blend Broad Market</v>
      </c>
      <c r="K74" t="str">
        <f t="shared" si="1"/>
        <v>Dharmaresearch Dr Equity-A</v>
      </c>
    </row>
    <row r="75" spans="1:14" x14ac:dyDescent="0.25">
      <c r="A75" t="s">
        <v>73</v>
      </c>
      <c r="B75" t="str" cm="1">
        <f t="array" ref="B75">_xll.BQL($A75&amp;" Equity", "BB_Default_Risk_Obligor_Ticker")</f>
        <v>DRGLCRA LX Equity</v>
      </c>
      <c r="C75" t="str" cm="1">
        <f t="array" ref="C75">_xll.BDP($A75&amp;" Equity","Name")</f>
        <v>DHARMARESEARCH SA-DR GL CR-A</v>
      </c>
      <c r="D75" t="str" cm="1">
        <f t="array" ref="D75">_xll.BQL($A75, "Crncy")</f>
        <v>EUR</v>
      </c>
      <c r="E75" t="str" cm="1">
        <f t="array" ref="E75">_xll.BDP(B75,"ex028")</f>
        <v>Fund</v>
      </c>
      <c r="F75" t="str" cm="1">
        <f t="array" ref="F75">_xll.BDP($B75,"Security_Typ")</f>
        <v>Open-End Fund</v>
      </c>
      <c r="G75" t="str" cm="1">
        <f t="array" ref="G75">_xll.BDP($B75,"Gics_Sector_Name")</f>
        <v>#N/A N/A</v>
      </c>
      <c r="H75" t="str" cm="1">
        <f t="array" ref="H75">IF(OR(F75="ETP",F75="Open-End Fund"),_xll.BDP($B75,"FD121"),"")</f>
        <v>Fixed Income</v>
      </c>
      <c r="I75" t="str" cm="1">
        <f t="array" ref="I75">IF(OR(F75="ETP",F75="Open-End Fund"),_xll.BDP($B75,"Fund_Objective_Long"),"")</f>
        <v>#N/A N/A</v>
      </c>
      <c r="K75" t="str">
        <f t="shared" si="1"/>
        <v>Dharmaresearch Sa-Dr Gl Cr-A</v>
      </c>
    </row>
    <row r="76" spans="1:14" x14ac:dyDescent="0.25">
      <c r="A76" s="1" t="s">
        <v>74</v>
      </c>
      <c r="B76" s="1" t="str" cm="1">
        <f t="array" ref="B76">_xll.BQL($A76&amp;" Equity", "BB_Default_Risk_Obligor_Ticker")</f>
        <v>#N/A</v>
      </c>
      <c r="C76" s="1" t="str" cm="1">
        <f t="array" ref="C76">_xll.BDP($A76&amp;" Equity","Name")</f>
        <v>#N/A Invalid Security</v>
      </c>
      <c r="D76" s="1" t="str" cm="1">
        <f t="array" ref="D76">_xll.BQL($A76, "Crncy")</f>
        <v>#N/A</v>
      </c>
      <c r="E76" s="1" t="str" cm="1">
        <f t="array" ref="E76">_xll.BDP(B76,"ex028")</f>
        <v>#N/A Invalid Security</v>
      </c>
      <c r="F76" t="str" cm="1">
        <f t="array" ref="F76">_xll.BDP($B76,"Security_Typ")</f>
        <v>#N/A Invalid Security</v>
      </c>
      <c r="G76" t="str" cm="1">
        <f t="array" ref="G76">_xll.BDP($B76,"Gics_Sector_Name")</f>
        <v>#N/A Invalid Security</v>
      </c>
      <c r="H76" t="str" cm="1">
        <f t="array" ref="H76">IF(OR(F76="ETP",F76="Open-End Fund"),_xll.BDP($B76,"FD121"),"")</f>
        <v/>
      </c>
      <c r="I76" t="str" cm="1">
        <f t="array" ref="I76">IF(OR(F76="ETP",F76="Open-End Fund"),_xll.BDP($B76,"Fund_Objective_Long"),"")</f>
        <v/>
      </c>
      <c r="J76" s="1"/>
      <c r="K76" s="1" t="s">
        <v>147</v>
      </c>
      <c r="L76" s="1" t="s">
        <v>148</v>
      </c>
      <c r="M76" s="1" t="s">
        <v>149</v>
      </c>
      <c r="N76" s="1" t="s">
        <v>150</v>
      </c>
    </row>
    <row r="77" spans="1:14" x14ac:dyDescent="0.25">
      <c r="A77" t="s">
        <v>75</v>
      </c>
      <c r="B77" t="str" cm="1">
        <f t="array" ref="B77">_xll.BQL($A77&amp;" Equity", "BB_Default_Risk_Obligor_Ticker")</f>
        <v>SLXFCPE LX Equity</v>
      </c>
      <c r="C77" t="str" cm="1">
        <f t="array" ref="C77">_xll.BDP($A77&amp;" Equity","Name")</f>
        <v>SILEX FINANCIAL CRD-IA EUR</v>
      </c>
      <c r="D77" t="str" cm="1">
        <f t="array" ref="D77">_xll.BQL($A77, "Crncy")</f>
        <v>EUR</v>
      </c>
      <c r="E77" t="str" cm="1">
        <f t="array" ref="E77">_xll.BDP(B77,"ex028")</f>
        <v>Fund</v>
      </c>
      <c r="F77" t="str" cm="1">
        <f t="array" ref="F77">_xll.BDP($B77,"Security_Typ")</f>
        <v>Open-End Fund</v>
      </c>
      <c r="G77" t="str" cm="1">
        <f t="array" ref="G77">_xll.BDP($B77,"Gics_Sector_Name")</f>
        <v>#N/A N/A</v>
      </c>
      <c r="H77" t="str" cm="1">
        <f t="array" ref="H77">IF(OR(F77="ETP",F77="Open-End Fund"),_xll.BDP($B77,"FD121"),"")</f>
        <v>Fixed Income</v>
      </c>
      <c r="I77" t="str" cm="1">
        <f t="array" ref="I77">IF(OR(F77="ETP",F77="Open-End Fund"),_xll.BDP($B77,"Fund_Objective_Long"),"")</f>
        <v>Foreign Aggregate Bond</v>
      </c>
      <c r="K77" t="str">
        <f t="shared" si="1"/>
        <v>Silex Financial Crd-Ia Eur</v>
      </c>
    </row>
    <row r="78" spans="1:14" x14ac:dyDescent="0.25">
      <c r="A78" t="s">
        <v>76</v>
      </c>
      <c r="B78" t="str" cm="1">
        <f t="array" ref="B78">_xll.BQL($A78&amp;" Equity", "BB_Default_Risk_Obligor_Ticker")</f>
        <v>AICOIUC LX Equity</v>
      </c>
      <c r="C78" t="str" cm="1">
        <f t="array" ref="C78">_xll.BDP($A78&amp;" Equity","Name")</f>
        <v>APERTURE CREDIT OPP-I EUR HD</v>
      </c>
      <c r="D78" t="str" cm="1">
        <f t="array" ref="D78">_xll.BQL($A78, "Crncy")</f>
        <v>EUR</v>
      </c>
      <c r="E78" t="str" cm="1">
        <f t="array" ref="E78">_xll.BDP(B78,"ex028")</f>
        <v>Fund</v>
      </c>
      <c r="F78" t="str" cm="1">
        <f t="array" ref="F78">_xll.BDP($B78,"Security_Typ")</f>
        <v>Open-End Fund</v>
      </c>
      <c r="G78" t="str" cm="1">
        <f t="array" ref="G78">_xll.BDP($B78,"Gics_Sector_Name")</f>
        <v>#N/A N/A</v>
      </c>
      <c r="H78" t="str" cm="1">
        <f t="array" ref="H78">IF(OR(F78="ETP",F78="Open-End Fund"),_xll.BDP($B78,"FD121"),"")</f>
        <v>Alternative</v>
      </c>
      <c r="I78" t="str" cm="1">
        <f t="array" ref="I78">IF(OR(F78="ETP",F78="Open-End Fund"),_xll.BDP($B78,"Fund_Objective_Long"),"")</f>
        <v>Fixed Income Diversified</v>
      </c>
      <c r="K78" t="str">
        <f t="shared" si="1"/>
        <v>Aperture Credit Opp-I Eur Hd</v>
      </c>
    </row>
    <row r="79" spans="1:14" x14ac:dyDescent="0.25">
      <c r="A79" t="s">
        <v>77</v>
      </c>
      <c r="B79" t="str" cm="1">
        <f t="array" ref="B79">_xll.BQL($A79&amp;" Equity", "BB_Default_Risk_Obligor_Ticker")</f>
        <v>AQATUI1 LX Equity</v>
      </c>
      <c r="C79" t="str" cm="1">
        <f t="array" ref="C79">_xll.BDP($A79&amp;" Equity","Name")</f>
        <v>AQR ALT TRENDS F-IAU1USDACC</v>
      </c>
      <c r="D79" t="str" cm="1">
        <f t="array" ref="D79">_xll.BQL($A79, "Crncy")</f>
        <v>USD</v>
      </c>
      <c r="E79" t="str" cm="1">
        <f t="array" ref="E79">_xll.BDP(B79,"ex028")</f>
        <v>Fund</v>
      </c>
      <c r="F79" t="str" cm="1">
        <f t="array" ref="F79">_xll.BDP($B79,"Security_Typ")</f>
        <v>Open-End Fund</v>
      </c>
      <c r="G79" t="str" cm="1">
        <f t="array" ref="G79">_xll.BDP($B79,"Gics_Sector_Name")</f>
        <v>#N/A N/A</v>
      </c>
      <c r="H79" t="str" cm="1">
        <f t="array" ref="H79">IF(OR(F79="ETP",F79="Open-End Fund"),_xll.BDP($B79,"FD121"),"")</f>
        <v>Alternative</v>
      </c>
      <c r="I79" t="str" cm="1">
        <f t="array" ref="I79">IF(OR(F79="ETP",F79="Open-End Fund"),_xll.BDP($B79,"Fund_Objective_Long"),"")</f>
        <v>Managed Futures Systematic</v>
      </c>
      <c r="K79" t="str">
        <f t="shared" si="1"/>
        <v>Aqr Alt Trends F-Iau1Usdacc</v>
      </c>
    </row>
    <row r="80" spans="1:14" x14ac:dyDescent="0.25">
      <c r="A80" t="s">
        <v>78</v>
      </c>
      <c r="B80" t="str">
        <f t="shared" ref="B80" si="2">A80&amp;" Corp"</f>
        <v>LU2420562212 Corp</v>
      </c>
      <c r="C80" t="str" cm="1">
        <f t="array" ref="C80">_xll.BDP($B80,"Security_Name")</f>
        <v>EDSTSA 10 06/22/26</v>
      </c>
      <c r="D80" t="str" cm="1">
        <f t="array" ref="D80">_xll.BQL($A80, "Crncy")</f>
        <v>EUR</v>
      </c>
      <c r="E80" t="str" cm="1">
        <f t="array" ref="E80">_xll.BDP(B80,"ex028")</f>
        <v>FixedIncome</v>
      </c>
      <c r="F80" t="str" cm="1">
        <f t="array" ref="F80">_xll.BDP($B80,"Security_Typ")</f>
        <v>EURO-ZONE</v>
      </c>
      <c r="G80" t="str" cm="1">
        <f t="array" ref="G80">_xll.BDP($B80,"Gics_Sector_Name")</f>
        <v>#N/A Field Not Applicable</v>
      </c>
      <c r="H80" t="str" cm="1">
        <f t="array" ref="H80">IF(OR(F80="ETP",F80="Open-End Fund"),_xll.BDP($B80,"FD121"),"")</f>
        <v/>
      </c>
      <c r="I80" t="str" cm="1">
        <f t="array" ref="I80">IF(OR(F80="ETP",F80="Open-End Fund"),_xll.BDP($B80,"Fund_Objective_Long"),"")</f>
        <v/>
      </c>
      <c r="K80" t="s">
        <v>151</v>
      </c>
      <c r="L80" t="s">
        <v>152</v>
      </c>
      <c r="M80" t="s">
        <v>149</v>
      </c>
      <c r="N80" t="s">
        <v>154</v>
      </c>
    </row>
    <row r="81" spans="1:14" x14ac:dyDescent="0.25">
      <c r="A81" t="s">
        <v>79</v>
      </c>
      <c r="B81" t="str" cm="1">
        <f t="array" ref="B81">_xll.BQL($A81&amp;" Equity", "BB_Default_Risk_Obligor_Ticker")</f>
        <v>LYB US Equity</v>
      </c>
      <c r="C81" t="str" cm="1">
        <f t="array" ref="C81">_xll.BDP($A81&amp;" Equity","Name")</f>
        <v>LYONDELLBASELL INDU-CL A</v>
      </c>
      <c r="D81" t="str" cm="1">
        <f t="array" ref="D81">_xll.BQL($A81, "Crncy")</f>
        <v>USD</v>
      </c>
      <c r="E81" t="str" cm="1">
        <f t="array" ref="E81">_xll.BDP(B81,"ex028")</f>
        <v>Equity</v>
      </c>
      <c r="F81" t="str" cm="1">
        <f t="array" ref="F81">_xll.BDP($B81,"Security_Typ")</f>
        <v>Common Stock</v>
      </c>
      <c r="G81" t="str" cm="1">
        <f t="array" ref="G81">_xll.BDP($B81,"Gics_Sector_Name")</f>
        <v>Materials</v>
      </c>
      <c r="H81" t="str" cm="1">
        <f t="array" ref="H81">IF(OR(F81="ETP",F81="Open-End Fund"),_xll.BDP($B81,"FD121"),"")</f>
        <v/>
      </c>
      <c r="I81" t="str" cm="1">
        <f t="array" ref="I81">IF(OR(F81="ETP",F81="Open-End Fund"),_xll.BDP($B81,"Fund_Objective_Long"),"")</f>
        <v/>
      </c>
      <c r="K81" t="str">
        <f t="shared" si="1"/>
        <v>Lyondellbasell Indu-Cl A</v>
      </c>
    </row>
    <row r="82" spans="1:14" x14ac:dyDescent="0.25">
      <c r="A82" t="s">
        <v>80</v>
      </c>
      <c r="B82" t="str" cm="1">
        <f t="array" ref="B82">_xll.BQL($A82&amp;" Equity", "BB_Default_Risk_Obligor_Ticker")</f>
        <v>ASML NA Equity</v>
      </c>
      <c r="C82" t="str" cm="1">
        <f t="array" ref="C82">_xll.BDP($A82&amp;" Equity","Name")</f>
        <v>ASML HOLDING NV</v>
      </c>
      <c r="D82" t="str" cm="1">
        <f t="array" ref="D82">_xll.BQL($A82, "Crncy")</f>
        <v>EUR</v>
      </c>
      <c r="E82" t="str" cm="1">
        <f t="array" ref="E82">_xll.BDP(B82,"ex028")</f>
        <v>Equity</v>
      </c>
      <c r="F82" t="str" cm="1">
        <f t="array" ref="F82">_xll.BDP($B82,"Security_Typ")</f>
        <v>Common Stock</v>
      </c>
      <c r="G82" t="str" cm="1">
        <f t="array" ref="G82">_xll.BDP($B82,"Gics_Sector_Name")</f>
        <v>Information Technology</v>
      </c>
      <c r="H82" t="str" cm="1">
        <f t="array" ref="H82">IF(OR(F82="ETP",F82="Open-End Fund"),_xll.BDP($B82,"FD121"),"")</f>
        <v/>
      </c>
      <c r="I82" t="str" cm="1">
        <f t="array" ref="I82">IF(OR(F82="ETP",F82="Open-End Fund"),_xll.BDP($B82,"Fund_Objective_Long"),"")</f>
        <v/>
      </c>
      <c r="K82" t="str">
        <f t="shared" si="1"/>
        <v>Asml Holding Nv</v>
      </c>
    </row>
    <row r="83" spans="1:14" x14ac:dyDescent="0.25">
      <c r="A83" t="s">
        <v>81</v>
      </c>
      <c r="B83" t="str" cm="1">
        <f t="array" ref="B83">_xll.BQL($A83&amp;" Equity", "BB_Default_Risk_Obligor_Ticker")</f>
        <v>CNH US Equity</v>
      </c>
      <c r="C83" t="str" cm="1">
        <f t="array" ref="C83">_xll.BDP($A83&amp;" Equity","Name")</f>
        <v>CNH INDUSTRIAL NV</v>
      </c>
      <c r="D83" t="str" cm="1">
        <f t="array" ref="D83">_xll.BQL($A83, "Crncy")</f>
        <v>USD</v>
      </c>
      <c r="E83" t="str" cm="1">
        <f t="array" ref="E83">_xll.BDP(B83,"ex028")</f>
        <v>Equity</v>
      </c>
      <c r="F83" t="str" cm="1">
        <f t="array" ref="F83">_xll.BDP($B83,"Security_Typ")</f>
        <v>Common Stock</v>
      </c>
      <c r="G83" t="str" cm="1">
        <f t="array" ref="G83">_xll.BDP($B83,"Gics_Sector_Name")</f>
        <v>Industrials</v>
      </c>
      <c r="H83" t="str" cm="1">
        <f t="array" ref="H83">IF(OR(F83="ETP",F83="Open-End Fund"),_xll.BDP($B83,"FD121"),"")</f>
        <v/>
      </c>
      <c r="I83" t="str" cm="1">
        <f t="array" ref="I83">IF(OR(F83="ETP",F83="Open-End Fund"),_xll.BDP($B83,"Fund_Objective_Long"),"")</f>
        <v/>
      </c>
      <c r="K83" t="str">
        <f t="shared" si="1"/>
        <v>Cnh Industrial Nv</v>
      </c>
    </row>
    <row r="84" spans="1:14" x14ac:dyDescent="0.25">
      <c r="A84" t="s">
        <v>82</v>
      </c>
      <c r="B84" t="str" cm="1">
        <f t="array" ref="B84">_xll.BQL($A84&amp;" Equity", "BB_Default_Risk_Obligor_Ticker")</f>
        <v>AD NA Equity</v>
      </c>
      <c r="C84" t="str" cm="1">
        <f t="array" ref="C84">_xll.BDP($A84&amp;" Equity","Name")</f>
        <v>KONINKLIJKE AHOLD DELHAIZE N</v>
      </c>
      <c r="D84" t="str" cm="1">
        <f t="array" ref="D84">_xll.BQL($A84, "Crncy")</f>
        <v>EUR</v>
      </c>
      <c r="E84" t="str" cm="1">
        <f t="array" ref="E84">_xll.BDP(B84,"ex028")</f>
        <v>Equity</v>
      </c>
      <c r="F84" t="str" cm="1">
        <f t="array" ref="F84">_xll.BDP($B84,"Security_Typ")</f>
        <v>Common Stock</v>
      </c>
      <c r="G84" t="str" cm="1">
        <f t="array" ref="G84">_xll.BDP($B84,"Gics_Sector_Name")</f>
        <v>Consumer Staples</v>
      </c>
      <c r="H84" t="str" cm="1">
        <f t="array" ref="H84">IF(OR(F84="ETP",F84="Open-End Fund"),_xll.BDP($B84,"FD121"),"")</f>
        <v/>
      </c>
      <c r="I84" t="str" cm="1">
        <f t="array" ref="I84">IF(OR(F84="ETP",F84="Open-End Fund"),_xll.BDP($B84,"Fund_Objective_Long"),"")</f>
        <v/>
      </c>
      <c r="K84" t="str">
        <f t="shared" si="1"/>
        <v>Koninklijke Ahold Delhaize N</v>
      </c>
    </row>
    <row r="85" spans="1:14" x14ac:dyDescent="0.25">
      <c r="A85" t="s">
        <v>83</v>
      </c>
      <c r="B85" t="str" cm="1">
        <f t="array" ref="B85">_xll.BQL($A85&amp;" Equity", "BB_Default_Risk_Obligor_Ticker")</f>
        <v>BESI NA Equity</v>
      </c>
      <c r="C85" t="str" cm="1">
        <f t="array" ref="C85">_xll.BDP($A85&amp;" Equity","Name")</f>
        <v>BE SEMICONDUCTOR INDUSTRIES</v>
      </c>
      <c r="D85" t="str" cm="1">
        <f t="array" ref="D85">_xll.BQL($A85, "Crncy")</f>
        <v>EUR</v>
      </c>
      <c r="E85" t="str" cm="1">
        <f t="array" ref="E85">_xll.BDP(B85,"ex028")</f>
        <v>Equity</v>
      </c>
      <c r="F85" t="str" cm="1">
        <f t="array" ref="F85">_xll.BDP($B85,"Security_Typ")</f>
        <v>Common Stock</v>
      </c>
      <c r="G85" t="str" cm="1">
        <f t="array" ref="G85">_xll.BDP($B85,"Gics_Sector_Name")</f>
        <v>Information Technology</v>
      </c>
      <c r="H85" t="str" cm="1">
        <f t="array" ref="H85">IF(OR(F85="ETP",F85="Open-End Fund"),_xll.BDP($B85,"FD121"),"")</f>
        <v/>
      </c>
      <c r="I85" t="str" cm="1">
        <f t="array" ref="I85">IF(OR(F85="ETP",F85="Open-End Fund"),_xll.BDP($B85,"Fund_Objective_Long"),"")</f>
        <v/>
      </c>
      <c r="K85" t="str">
        <f t="shared" si="1"/>
        <v>Be Semiconductor Industries</v>
      </c>
    </row>
    <row r="86" spans="1:14" x14ac:dyDescent="0.25">
      <c r="A86" t="s">
        <v>84</v>
      </c>
      <c r="B86" t="str">
        <f t="shared" ref="B86:B88" si="3">A86&amp;" Corp"</f>
        <v>SE0011166594 Corp</v>
      </c>
      <c r="C86" t="str" cm="1">
        <f t="array" ref="C86">_xll.BDP($B86,"Security_Name")</f>
        <v>NCPNOR 10 1/2 05/03/25</v>
      </c>
      <c r="D86" t="str" cm="1">
        <f t="array" ref="D86">_xll.BQL($A86, "Crncy")</f>
        <v>EUR</v>
      </c>
      <c r="E86" t="str" cm="1">
        <f t="array" ref="E86">_xll.BDP(B86,"ex028")</f>
        <v>FixedIncome</v>
      </c>
      <c r="F86" t="str" cm="1">
        <f t="array" ref="F86">_xll.BDP($B86,"Security_Typ")</f>
        <v>DOMESTIC MTN</v>
      </c>
      <c r="G86" t="str" cm="1">
        <f t="array" ref="G86">_xll.BDP($B86,"Gics_Sector_Name")</f>
        <v>#N/A Field Not Applicable</v>
      </c>
      <c r="H86" t="str" cm="1">
        <f t="array" ref="H86">IF(OR(F86="ETP",F86="Open-End Fund"),_xll.BDP($B86,"FD121"),"")</f>
        <v/>
      </c>
      <c r="I86" t="str" cm="1">
        <f t="array" ref="I86">IF(OR(F86="ETP",F86="Open-End Fund"),_xll.BDP($B86,"Fund_Objective_Long"),"")</f>
        <v/>
      </c>
      <c r="K86" t="s">
        <v>179</v>
      </c>
      <c r="L86" t="s">
        <v>152</v>
      </c>
      <c r="M86" t="s">
        <v>149</v>
      </c>
      <c r="N86" t="s">
        <v>154</v>
      </c>
    </row>
    <row r="87" spans="1:14" x14ac:dyDescent="0.25">
      <c r="A87" t="s">
        <v>85</v>
      </c>
      <c r="B87" t="str">
        <f t="shared" si="3"/>
        <v>SE0012230217 Corp</v>
      </c>
      <c r="C87" t="str" cm="1">
        <f t="array" ref="C87">_xll.BDP($B87,"Security_Name")</f>
        <v>SMALVI 11 06/30/23</v>
      </c>
      <c r="D87" t="str" cm="1">
        <f t="array" ref="D87">_xll.BQL($A87, "Crncy")</f>
        <v>EUR</v>
      </c>
      <c r="E87" t="str" cm="1">
        <f t="array" ref="E87">_xll.BDP(B87,"ex028")</f>
        <v>FixedIncome</v>
      </c>
      <c r="F87" t="str" cm="1">
        <f t="array" ref="F87">_xll.BDP($B87,"Security_Typ")</f>
        <v>DOMESTIC MTN</v>
      </c>
      <c r="G87" t="str" cm="1">
        <f t="array" ref="G87">_xll.BDP($B87,"Gics_Sector_Name")</f>
        <v>#N/A Field Not Applicable</v>
      </c>
      <c r="H87" t="str" cm="1">
        <f t="array" ref="H87">IF(OR(F87="ETP",F87="Open-End Fund"),_xll.BDP($B87,"FD121"),"")</f>
        <v/>
      </c>
      <c r="I87" t="str" cm="1">
        <f t="array" ref="I87">IF(OR(F87="ETP",F87="Open-End Fund"),_xll.BDP($B87,"Fund_Objective_Long"),"")</f>
        <v/>
      </c>
      <c r="K87" t="s">
        <v>178</v>
      </c>
      <c r="L87" t="s">
        <v>152</v>
      </c>
      <c r="M87" t="s">
        <v>149</v>
      </c>
      <c r="N87" t="s">
        <v>154</v>
      </c>
    </row>
    <row r="88" spans="1:14" x14ac:dyDescent="0.25">
      <c r="A88" t="s">
        <v>86</v>
      </c>
      <c r="B88" t="str">
        <f t="shared" si="3"/>
        <v>SE0014957452 Corp</v>
      </c>
      <c r="C88" t="str" cm="1">
        <f t="array" ref="C88">_xll.BDP($B88,"Security_Name")</f>
        <v>FREEJD 11 09/02/22</v>
      </c>
      <c r="D88" t="str" cm="1">
        <f t="array" ref="D88">_xll.BQL($A88, "Crncy")</f>
        <v>EUR</v>
      </c>
      <c r="E88" t="str" cm="1">
        <f t="array" ref="E88">_xll.BDP(B88,"ex028")</f>
        <v>FixedIncome</v>
      </c>
      <c r="F88" t="str" cm="1">
        <f t="array" ref="F88">_xll.BDP($B88,"Security_Typ")</f>
        <v>DOMESTIC</v>
      </c>
      <c r="G88" t="str" cm="1">
        <f t="array" ref="G88">_xll.BDP($B88,"Gics_Sector_Name")</f>
        <v>#N/A Field Not Applicable</v>
      </c>
      <c r="H88" t="str" cm="1">
        <f t="array" ref="H88">IF(OR(F88="ETP",F88="Open-End Fund"),_xll.BDP($B88,"FD121"),"")</f>
        <v/>
      </c>
      <c r="I88" t="str" cm="1">
        <f t="array" ref="I88">IF(OR(F88="ETP",F88="Open-End Fund"),_xll.BDP($B88,"Fund_Objective_Long"),"")</f>
        <v/>
      </c>
      <c r="K88" t="s">
        <v>177</v>
      </c>
      <c r="L88" t="s">
        <v>152</v>
      </c>
      <c r="M88" t="s">
        <v>149</v>
      </c>
      <c r="N88" t="s">
        <v>154</v>
      </c>
    </row>
    <row r="89" spans="1:14" x14ac:dyDescent="0.25">
      <c r="A89" t="s">
        <v>87</v>
      </c>
      <c r="B89" t="str">
        <f t="shared" ref="B89:B94" si="4">A89&amp;" Corp"</f>
        <v>SE0015346671 Corp</v>
      </c>
      <c r="C89" t="str" cm="1">
        <f t="array" ref="C89">_xll.BDP($B89,"Security_Name")</f>
        <v>GMLHVN 15 02/11/26</v>
      </c>
      <c r="D89" t="str" cm="1">
        <f t="array" ref="D89">_xll.BQL($A89, "Crncy")</f>
        <v>EUR</v>
      </c>
      <c r="E89" t="str" cm="1">
        <f t="array" ref="E89">_xll.BDP(B89,"ex028")</f>
        <v>FixedIncome</v>
      </c>
      <c r="F89" t="str" cm="1">
        <f t="array" ref="F89">_xll.BDP($B89,"Security_Typ")</f>
        <v>EURO NON-DOLLAR</v>
      </c>
      <c r="G89" t="str" cm="1">
        <f t="array" ref="G89">_xll.BDP($B89,"Gics_Sector_Name")</f>
        <v>#N/A Field Not Applicable</v>
      </c>
      <c r="H89" t="str" cm="1">
        <f t="array" ref="H89">IF(OR(F89="ETP",F89="Open-End Fund"),_xll.BDP($B89,"FD121"),"")</f>
        <v/>
      </c>
      <c r="I89" t="str" cm="1">
        <f t="array" ref="I89">IF(OR(F89="ETP",F89="Open-End Fund"),_xll.BDP($B89,"Fund_Objective_Long"),"")</f>
        <v/>
      </c>
      <c r="K89" t="s">
        <v>176</v>
      </c>
      <c r="L89" t="s">
        <v>152</v>
      </c>
      <c r="M89" t="s">
        <v>149</v>
      </c>
      <c r="N89" t="s">
        <v>154</v>
      </c>
    </row>
    <row r="90" spans="1:14" x14ac:dyDescent="0.25">
      <c r="A90" t="s">
        <v>88</v>
      </c>
      <c r="B90" t="str" cm="1">
        <f t="array" ref="B90">_xll.BQL($A90&amp;" Equity", "BB_Default_Risk_Obligor_Ticker")</f>
        <v>HEXAB SS Equity</v>
      </c>
      <c r="C90" t="str" cm="1">
        <f t="array" ref="C90">_xll.BDP($A90&amp;" Equity","Name")</f>
        <v>HEXAGON AB-B SHS</v>
      </c>
      <c r="D90" t="str" cm="1">
        <f t="array" ref="D90">_xll.BQL($A90, "Crncy")</f>
        <v>SEK</v>
      </c>
      <c r="E90" t="str" cm="1">
        <f t="array" ref="E90">_xll.BDP(B90,"ex028")</f>
        <v>Equity</v>
      </c>
      <c r="F90" t="str" cm="1">
        <f t="array" ref="F90">_xll.BDP($B90,"Security_Typ")</f>
        <v>Common Stock</v>
      </c>
      <c r="G90" t="str" cm="1">
        <f t="array" ref="G90">_xll.BDP($B90,"Gics_Sector_Name")</f>
        <v>Information Technology</v>
      </c>
      <c r="H90" t="str" cm="1">
        <f t="array" ref="H90">IF(OR(F90="ETP",F90="Open-End Fund"),_xll.BDP($B90,"FD121"),"")</f>
        <v/>
      </c>
      <c r="I90" t="str" cm="1">
        <f t="array" ref="I90">IF(OR(F90="ETP",F90="Open-End Fund"),_xll.BDP($B90,"Fund_Objective_Long"),"")</f>
        <v/>
      </c>
      <c r="K90" t="str">
        <f t="shared" ref="K90" si="5">PROPER(C90)</f>
        <v>Hexagon Ab-B Shs</v>
      </c>
    </row>
    <row r="91" spans="1:14" x14ac:dyDescent="0.25">
      <c r="A91" t="s">
        <v>89</v>
      </c>
      <c r="B91" t="str">
        <f t="shared" si="4"/>
        <v>SE0016074058 Corp</v>
      </c>
      <c r="C91" t="str" cm="1">
        <f t="array" ref="C91">_xll.BDP($B91,"Security_Name")</f>
        <v>MTHESA 9 06/09/25</v>
      </c>
      <c r="D91" t="str" cm="1">
        <f t="array" ref="D91">_xll.BQL($A91, "Crncy")</f>
        <v>EUR</v>
      </c>
      <c r="E91" t="str" cm="1">
        <f t="array" ref="E91">_xll.BDP(B91,"ex028")</f>
        <v>FixedIncome</v>
      </c>
      <c r="F91" t="str" cm="1">
        <f t="array" ref="F91">_xll.BDP($B91,"Security_Typ")</f>
        <v>EURO NON-DOLLAR</v>
      </c>
      <c r="G91" t="str" cm="1">
        <f t="array" ref="G91">_xll.BDP($B91,"Gics_Sector_Name")</f>
        <v>#N/A Field Not Applicable</v>
      </c>
      <c r="H91" t="str" cm="1">
        <f t="array" ref="H91">IF(OR(F91="ETP",F91="Open-End Fund"),_xll.BDP($B91,"FD121"),"")</f>
        <v/>
      </c>
      <c r="I91" t="str" cm="1">
        <f t="array" ref="I91">IF(OR(F91="ETP",F91="Open-End Fund"),_xll.BDP($B91,"Fund_Objective_Long"),"")</f>
        <v/>
      </c>
      <c r="K91" t="s">
        <v>175</v>
      </c>
      <c r="M91" t="s">
        <v>149</v>
      </c>
      <c r="N91" t="s">
        <v>154</v>
      </c>
    </row>
    <row r="92" spans="1:14" x14ac:dyDescent="0.25">
      <c r="A92" t="s">
        <v>90</v>
      </c>
      <c r="B92" t="str">
        <f t="shared" si="4"/>
        <v>SE0017085418 Corp</v>
      </c>
      <c r="C92" t="str" cm="1">
        <f t="array" ref="C92">_xll.BDP($B92,"Security_Name")</f>
        <v>GRIEJE 9 12/13/25</v>
      </c>
      <c r="D92" t="str" cm="1">
        <f t="array" ref="D92">_xll.BQL($A92, "Crncy")</f>
        <v>EUR</v>
      </c>
      <c r="E92" t="str" cm="1">
        <f t="array" ref="E92">_xll.BDP(B92,"ex028")</f>
        <v>FixedIncome</v>
      </c>
      <c r="F92" t="str" cm="1">
        <f t="array" ref="F92">_xll.BDP($B92,"Security_Typ")</f>
        <v>DOMESTIC</v>
      </c>
      <c r="G92" t="str" cm="1">
        <f t="array" ref="G92">_xll.BDP($B92,"Gics_Sector_Name")</f>
        <v>#N/A Field Not Applicable</v>
      </c>
      <c r="H92" t="str" cm="1">
        <f t="array" ref="H92">IF(OR(F92="ETP",F92="Open-End Fund"),_xll.BDP($B92,"FD121"),"")</f>
        <v/>
      </c>
      <c r="I92" t="str" cm="1">
        <f t="array" ref="I92">IF(OR(F92="ETP",F92="Open-End Fund"),_xll.BDP($B92,"Fund_Objective_Long"),"")</f>
        <v/>
      </c>
      <c r="K92" t="s">
        <v>174</v>
      </c>
      <c r="L92" t="s">
        <v>152</v>
      </c>
      <c r="M92" t="s">
        <v>149</v>
      </c>
      <c r="N92" t="s">
        <v>154</v>
      </c>
    </row>
    <row r="93" spans="1:14" x14ac:dyDescent="0.25">
      <c r="A93" t="s">
        <v>91</v>
      </c>
      <c r="B93" t="str">
        <f t="shared" si="4"/>
        <v>SE0017232010 Corp</v>
      </c>
      <c r="C93" t="str" cm="1">
        <f t="array" ref="C93">_xll.BDP($B93,"Security_Name")</f>
        <v>RLDNRK Float 03/03/24</v>
      </c>
      <c r="D93" t="str" cm="1">
        <f t="array" ref="D93">_xll.BQL($A93, "Crncy")</f>
        <v>EUR</v>
      </c>
      <c r="E93" t="str" cm="1">
        <f t="array" ref="E93">_xll.BDP(B93,"ex028")</f>
        <v>FixedIncome</v>
      </c>
      <c r="F93" t="str" cm="1">
        <f t="array" ref="F93">_xll.BDP($B93,"Security_Typ")</f>
        <v>EURO NON-DOLLAR</v>
      </c>
      <c r="G93" t="str" cm="1">
        <f t="array" ref="G93">_xll.BDP($B93,"Gics_Sector_Name")</f>
        <v>#N/A Field Not Applicable</v>
      </c>
      <c r="H93" t="str" cm="1">
        <f t="array" ref="H93">IF(OR(F93="ETP",F93="Open-End Fund"),_xll.BDP($B93,"FD121"),"")</f>
        <v/>
      </c>
      <c r="I93" t="str" cm="1">
        <f t="array" ref="I93">IF(OR(F93="ETP",F93="Open-End Fund"),_xll.BDP($B93,"Fund_Objective_Long"),"")</f>
        <v/>
      </c>
      <c r="K93" t="s">
        <v>173</v>
      </c>
      <c r="L93" t="s">
        <v>152</v>
      </c>
      <c r="M93" t="s">
        <v>149</v>
      </c>
      <c r="N93" t="s">
        <v>154</v>
      </c>
    </row>
    <row r="94" spans="1:14" x14ac:dyDescent="0.25">
      <c r="A94" t="s">
        <v>92</v>
      </c>
      <c r="B94" t="str">
        <f t="shared" si="4"/>
        <v>SE0019914383 Corp</v>
      </c>
      <c r="C94" t="str" cm="1">
        <f t="array" ref="C94">_xll.BDP($B94,"Security_Name")</f>
        <v>NPVGRO Float 05/12/26</v>
      </c>
      <c r="D94" t="str" cm="1">
        <f t="array" ref="D94">_xll.BQL($A94, "Crncy")</f>
        <v>EUR</v>
      </c>
      <c r="E94" t="str" cm="1">
        <f t="array" ref="E94">_xll.BDP(B94,"ex028")</f>
        <v>FixedIncome</v>
      </c>
      <c r="F94" t="str" cm="1">
        <f t="array" ref="F94">_xll.BDP($B94,"Security_Typ")</f>
        <v>EURO NON-DOLLAR</v>
      </c>
      <c r="G94" t="str" cm="1">
        <f t="array" ref="G94">_xll.BDP($B94,"Gics_Sector_Name")</f>
        <v>#N/A Field Not Applicable</v>
      </c>
      <c r="H94" t="str" cm="1">
        <f t="array" ref="H94">IF(OR(F94="ETP",F94="Open-End Fund"),_xll.BDP($B94,"FD121"),"")</f>
        <v/>
      </c>
      <c r="I94" t="str" cm="1">
        <f t="array" ref="I94">IF(OR(F94="ETP",F94="Open-End Fund"),_xll.BDP($B94,"Fund_Objective_Long"),"")</f>
        <v/>
      </c>
      <c r="K94" t="s">
        <v>172</v>
      </c>
      <c r="L94" t="s">
        <v>152</v>
      </c>
      <c r="M94" t="s">
        <v>149</v>
      </c>
      <c r="N94" t="s">
        <v>154</v>
      </c>
    </row>
    <row r="95" spans="1:14" x14ac:dyDescent="0.25">
      <c r="A95" t="s">
        <v>93</v>
      </c>
      <c r="B95" t="str" cm="1">
        <f t="array" ref="B95">_xll.BQL($A95&amp;" Equity", "BB_Default_Risk_Obligor_Ticker")</f>
        <v>BOL SS Equity</v>
      </c>
      <c r="C95" t="str" cm="1">
        <f t="array" ref="C95">_xll.BDP($A95&amp;" Equity","Name")</f>
        <v>BOLIDEN AB</v>
      </c>
      <c r="D95" t="str" cm="1">
        <f t="array" ref="D95">_xll.BQL($A95, "Crncy")</f>
        <v>SEK</v>
      </c>
      <c r="E95" t="str" cm="1">
        <f t="array" ref="E95">_xll.BDP(B95,"ex028")</f>
        <v>Equity</v>
      </c>
      <c r="F95" t="str" cm="1">
        <f t="array" ref="F95">_xll.BDP($B95,"Security_Typ")</f>
        <v>Common Stock</v>
      </c>
      <c r="G95" t="str" cm="1">
        <f t="array" ref="G95">_xll.BDP($B95,"Gics_Sector_Name")</f>
        <v>Materials</v>
      </c>
      <c r="H95" t="str" cm="1">
        <f t="array" ref="H95">IF(OR(F95="ETP",F95="Open-End Fund"),_xll.BDP($B95,"FD121"),"")</f>
        <v/>
      </c>
      <c r="I95" t="str" cm="1">
        <f t="array" ref="I95">IF(OR(F95="ETP",F95="Open-End Fund"),_xll.BDP($B95,"Fund_Objective_Long"),"")</f>
        <v/>
      </c>
      <c r="K95" t="str">
        <f t="shared" ref="K95:K127" si="6">PROPER(C95)</f>
        <v>Boliden Ab</v>
      </c>
    </row>
    <row r="96" spans="1:14" x14ac:dyDescent="0.25">
      <c r="A96" t="s">
        <v>94</v>
      </c>
      <c r="B96" t="str" cm="1">
        <f t="array" ref="B96">_xll.BQL($A96&amp;" Equity", "BB_Default_Risk_Obligor_Ticker")</f>
        <v>AMD US Equity</v>
      </c>
      <c r="C96" t="str" cm="1">
        <f t="array" ref="C96">_xll.BDP($A96&amp;" Equity","Name")</f>
        <v>ADVANCED MICRO DEVICES</v>
      </c>
      <c r="D96" t="str" cm="1">
        <f t="array" ref="D96">_xll.BQL($A96, "Crncy")</f>
        <v>USD</v>
      </c>
      <c r="E96" t="str" cm="1">
        <f t="array" ref="E96">_xll.BDP(B96,"ex028")</f>
        <v>Equity</v>
      </c>
      <c r="F96" t="str" cm="1">
        <f t="array" ref="F96">_xll.BDP($B96,"Security_Typ")</f>
        <v>Common Stock</v>
      </c>
      <c r="G96" t="str" cm="1">
        <f t="array" ref="G96">_xll.BDP($B96,"Gics_Sector_Name")</f>
        <v>Information Technology</v>
      </c>
      <c r="H96" t="str" cm="1">
        <f t="array" ref="H96">IF(OR(F96="ETP",F96="Open-End Fund"),_xll.BDP($B96,"FD121"),"")</f>
        <v/>
      </c>
      <c r="I96" t="str" cm="1">
        <f t="array" ref="I96">IF(OR(F96="ETP",F96="Open-End Fund"),_xll.BDP($B96,"Fund_Objective_Long"),"")</f>
        <v/>
      </c>
      <c r="K96" t="str">
        <f t="shared" si="6"/>
        <v>Advanced Micro Devices</v>
      </c>
    </row>
    <row r="97" spans="1:11" x14ac:dyDescent="0.25">
      <c r="A97" t="s">
        <v>95</v>
      </c>
      <c r="B97" t="str" cm="1">
        <f t="array" ref="B97">_xll.BQL($A97&amp;" Equity", "BB_Default_Risk_Obligor_Ticker")</f>
        <v>A US Equity</v>
      </c>
      <c r="C97" t="str" cm="1">
        <f t="array" ref="C97">_xll.BDP($A97&amp;" Equity","Name")</f>
        <v>AGILENT TECHNOLOGIES INC</v>
      </c>
      <c r="D97" t="str" cm="1">
        <f t="array" ref="D97">_xll.BQL($A97, "Crncy")</f>
        <v>USD</v>
      </c>
      <c r="E97" t="str" cm="1">
        <f t="array" ref="E97">_xll.BDP(B97,"ex028")</f>
        <v>Equity</v>
      </c>
      <c r="F97" t="str" cm="1">
        <f t="array" ref="F97">_xll.BDP($B97,"Security_Typ")</f>
        <v>Common Stock</v>
      </c>
      <c r="G97" t="str" cm="1">
        <f t="array" ref="G97">_xll.BDP($B97,"Gics_Sector_Name")</f>
        <v>Health Care</v>
      </c>
      <c r="H97" t="str" cm="1">
        <f t="array" ref="H97">IF(OR(F97="ETP",F97="Open-End Fund"),_xll.BDP($B97,"FD121"),"")</f>
        <v/>
      </c>
      <c r="I97" t="str" cm="1">
        <f t="array" ref="I97">IF(OR(F97="ETP",F97="Open-End Fund"),_xll.BDP($B97,"Fund_Objective_Long"),"")</f>
        <v/>
      </c>
      <c r="K97" t="str">
        <f t="shared" si="6"/>
        <v>Agilent Technologies Inc</v>
      </c>
    </row>
    <row r="98" spans="1:11" x14ac:dyDescent="0.25">
      <c r="A98" t="s">
        <v>96</v>
      </c>
      <c r="B98" t="str" cm="1">
        <f t="array" ref="B98">_xll.BQL($A98&amp;" Equity", "BB_Default_Risk_Obligor_Ticker")</f>
        <v>APH US Equity</v>
      </c>
      <c r="C98" t="str" cm="1">
        <f t="array" ref="C98">_xll.BDP($A98&amp;" Equity","Name")</f>
        <v>AMPHENOL CORP-CL A</v>
      </c>
      <c r="D98" t="str" cm="1">
        <f t="array" ref="D98">_xll.BQL($A98, "Crncy")</f>
        <v>USD</v>
      </c>
      <c r="E98" t="str" cm="1">
        <f t="array" ref="E98">_xll.BDP(B98,"ex028")</f>
        <v>Equity</v>
      </c>
      <c r="F98" t="str" cm="1">
        <f t="array" ref="F98">_xll.BDP($B98,"Security_Typ")</f>
        <v>Common Stock</v>
      </c>
      <c r="G98" t="str" cm="1">
        <f t="array" ref="G98">_xll.BDP($B98,"Gics_Sector_Name")</f>
        <v>Information Technology</v>
      </c>
      <c r="H98" t="str" cm="1">
        <f t="array" ref="H98">IF(OR(F98="ETP",F98="Open-End Fund"),_xll.BDP($B98,"FD121"),"")</f>
        <v/>
      </c>
      <c r="I98" t="str" cm="1">
        <f t="array" ref="I98">IF(OR(F98="ETP",F98="Open-End Fund"),_xll.BDP($B98,"Fund_Objective_Long"),"")</f>
        <v/>
      </c>
      <c r="K98" t="str">
        <f t="shared" si="6"/>
        <v>Amphenol Corp-Cl A</v>
      </c>
    </row>
    <row r="99" spans="1:11" x14ac:dyDescent="0.25">
      <c r="A99" t="s">
        <v>97</v>
      </c>
      <c r="B99" t="str" cm="1">
        <f t="array" ref="B99">_xll.BQL($A99&amp;" Equity", "BB_Default_Risk_Obligor_Ticker")</f>
        <v>AMAT US Equity</v>
      </c>
      <c r="C99" t="str" cm="1">
        <f t="array" ref="C99">_xll.BDP($A99&amp;" Equity","Name")</f>
        <v>APPLIED MATERIALS INC</v>
      </c>
      <c r="D99" t="str" cm="1">
        <f t="array" ref="D99">_xll.BQL($A99, "Crncy")</f>
        <v>USD</v>
      </c>
      <c r="E99" t="str" cm="1">
        <f t="array" ref="E99">_xll.BDP(B99,"ex028")</f>
        <v>Equity</v>
      </c>
      <c r="F99" t="str" cm="1">
        <f t="array" ref="F99">_xll.BDP($B99,"Security_Typ")</f>
        <v>Common Stock</v>
      </c>
      <c r="G99" t="str" cm="1">
        <f t="array" ref="G99">_xll.BDP($B99,"Gics_Sector_Name")</f>
        <v>Information Technology</v>
      </c>
      <c r="H99" t="str" cm="1">
        <f t="array" ref="H99">IF(OR(F99="ETP",F99="Open-End Fund"),_xll.BDP($B99,"FD121"),"")</f>
        <v/>
      </c>
      <c r="I99" t="str" cm="1">
        <f t="array" ref="I99">IF(OR(F99="ETP",F99="Open-End Fund"),_xll.BDP($B99,"Fund_Objective_Long"),"")</f>
        <v/>
      </c>
      <c r="K99" t="str">
        <f t="shared" si="6"/>
        <v>Applied Materials Inc</v>
      </c>
    </row>
    <row r="100" spans="1:11" x14ac:dyDescent="0.25">
      <c r="A100" t="s">
        <v>98</v>
      </c>
      <c r="B100" t="str" cm="1">
        <f t="array" ref="B100">_xll.BQL($A100&amp;" Equity", "BB_Default_Risk_Obligor_Ticker")</f>
        <v>BMY US Equity</v>
      </c>
      <c r="C100" t="str" cm="1">
        <f t="array" ref="C100">_xll.BDP($A100&amp;" Equity","Name")</f>
        <v>BRISTOL-MYERS SQUIBB CO</v>
      </c>
      <c r="D100" t="str" cm="1">
        <f t="array" ref="D100">_xll.BQL($A100, "Crncy")</f>
        <v>USD</v>
      </c>
      <c r="E100" t="str" cm="1">
        <f t="array" ref="E100">_xll.BDP(B100,"ex028")</f>
        <v>Equity</v>
      </c>
      <c r="F100" t="str" cm="1">
        <f t="array" ref="F100">_xll.BDP($B100,"Security_Typ")</f>
        <v>Common Stock</v>
      </c>
      <c r="G100" t="str" cm="1">
        <f t="array" ref="G100">_xll.BDP($B100,"Gics_Sector_Name")</f>
        <v>Health Care</v>
      </c>
      <c r="H100" t="str" cm="1">
        <f t="array" ref="H100">IF(OR(F100="ETP",F100="Open-End Fund"),_xll.BDP($B100,"FD121"),"")</f>
        <v/>
      </c>
      <c r="I100" t="str" cm="1">
        <f t="array" ref="I100">IF(OR(F100="ETP",F100="Open-End Fund"),_xll.BDP($B100,"Fund_Objective_Long"),"")</f>
        <v/>
      </c>
      <c r="K100" t="str">
        <f t="shared" si="6"/>
        <v>Bristol-Myers Squibb Co</v>
      </c>
    </row>
    <row r="101" spans="1:11" x14ac:dyDescent="0.25">
      <c r="A101" t="s">
        <v>99</v>
      </c>
      <c r="B101" t="str" cm="1">
        <f t="array" ref="B101">_xll.BQL($A101&amp;" Equity", "BB_Default_Risk_Obligor_Ticker")</f>
        <v>AVGO US Equity</v>
      </c>
      <c r="C101" t="str" cm="1">
        <f t="array" ref="C101">_xll.BDP($A101&amp;" Equity","Name")</f>
        <v>BROADCOM INC</v>
      </c>
      <c r="D101" t="str" cm="1">
        <f t="array" ref="D101">_xll.BQL($A101, "Crncy")</f>
        <v>USD</v>
      </c>
      <c r="E101" t="str" cm="1">
        <f t="array" ref="E101">_xll.BDP(B101,"ex028")</f>
        <v>Equity</v>
      </c>
      <c r="F101" t="str" cm="1">
        <f t="array" ref="F101">_xll.BDP($B101,"Security_Typ")</f>
        <v>Common Stock</v>
      </c>
      <c r="G101" t="str" cm="1">
        <f t="array" ref="G101">_xll.BDP($B101,"Gics_Sector_Name")</f>
        <v>Information Technology</v>
      </c>
      <c r="H101" t="str" cm="1">
        <f t="array" ref="H101">IF(OR(F101="ETP",F101="Open-End Fund"),_xll.BDP($B101,"FD121"),"")</f>
        <v/>
      </c>
      <c r="I101" t="str" cm="1">
        <f t="array" ref="I101">IF(OR(F101="ETP",F101="Open-End Fund"),_xll.BDP($B101,"Fund_Objective_Long"),"")</f>
        <v/>
      </c>
      <c r="K101" t="str">
        <f t="shared" si="6"/>
        <v>Broadcom Inc</v>
      </c>
    </row>
    <row r="102" spans="1:11" x14ac:dyDescent="0.25">
      <c r="A102" t="s">
        <v>100</v>
      </c>
      <c r="B102" t="str" cm="1">
        <f t="array" ref="B102">_xll.BQL($A102&amp;" Equity", "BB_Default_Risk_Obligor_Ticker")</f>
        <v>CE US Equity</v>
      </c>
      <c r="C102" t="str" cm="1">
        <f t="array" ref="C102">_xll.BDP($A102&amp;" Equity","Name")</f>
        <v>CELANESE CORP</v>
      </c>
      <c r="D102" t="str" cm="1">
        <f t="array" ref="D102">_xll.BQL($A102, "Crncy")</f>
        <v>USD</v>
      </c>
      <c r="E102" t="str" cm="1">
        <f t="array" ref="E102">_xll.BDP(B102,"ex028")</f>
        <v>Equity</v>
      </c>
      <c r="F102" t="str" cm="1">
        <f t="array" ref="F102">_xll.BDP($B102,"Security_Typ")</f>
        <v>Common Stock</v>
      </c>
      <c r="G102" t="str" cm="1">
        <f t="array" ref="G102">_xll.BDP($B102,"Gics_Sector_Name")</f>
        <v>Materials</v>
      </c>
      <c r="H102" t="str" cm="1">
        <f t="array" ref="H102">IF(OR(F102="ETP",F102="Open-End Fund"),_xll.BDP($B102,"FD121"),"")</f>
        <v/>
      </c>
      <c r="I102" t="str" cm="1">
        <f t="array" ref="I102">IF(OR(F102="ETP",F102="Open-End Fund"),_xll.BDP($B102,"Fund_Objective_Long"),"")</f>
        <v/>
      </c>
      <c r="K102" t="str">
        <f t="shared" si="6"/>
        <v>Celanese Corp</v>
      </c>
    </row>
    <row r="103" spans="1:11" x14ac:dyDescent="0.25">
      <c r="A103" t="s">
        <v>101</v>
      </c>
      <c r="B103" t="str" cm="1">
        <f t="array" ref="B103">_xll.BQL($A103&amp;" Equity", "BB_Default_Risk_Obligor_Ticker")</f>
        <v>C US Equity</v>
      </c>
      <c r="C103" t="str" cm="1">
        <f t="array" ref="C103">_xll.BDP($A103&amp;" Equity","Name")</f>
        <v>CITIGROUP INC</v>
      </c>
      <c r="D103" t="str" cm="1">
        <f t="array" ref="D103">_xll.BQL($A103, "Crncy")</f>
        <v>USD</v>
      </c>
      <c r="E103" t="str" cm="1">
        <f t="array" ref="E103">_xll.BDP(B103,"ex028")</f>
        <v>Equity</v>
      </c>
      <c r="F103" t="str" cm="1">
        <f t="array" ref="F103">_xll.BDP($B103,"Security_Typ")</f>
        <v>Common Stock</v>
      </c>
      <c r="G103" t="str" cm="1">
        <f t="array" ref="G103">_xll.BDP($B103,"Gics_Sector_Name")</f>
        <v>Financials</v>
      </c>
      <c r="H103" t="str" cm="1">
        <f t="array" ref="H103">IF(OR(F103="ETP",F103="Open-End Fund"),_xll.BDP($B103,"FD121"),"")</f>
        <v/>
      </c>
      <c r="I103" t="str" cm="1">
        <f t="array" ref="I103">IF(OR(F103="ETP",F103="Open-End Fund"),_xll.BDP($B103,"Fund_Objective_Long"),"")</f>
        <v/>
      </c>
      <c r="K103" t="str">
        <f t="shared" si="6"/>
        <v>Citigroup Inc</v>
      </c>
    </row>
    <row r="104" spans="1:11" x14ac:dyDescent="0.25">
      <c r="A104" t="s">
        <v>102</v>
      </c>
      <c r="B104" t="str" cm="1">
        <f t="array" ref="B104">_xll.BQL($A104&amp;" Equity", "BB_Default_Risk_Obligor_Ticker")</f>
        <v>CMCSA US Equity</v>
      </c>
      <c r="C104" t="str" cm="1">
        <f t="array" ref="C104">_xll.BDP($A104&amp;" Equity","Name")</f>
        <v>COMCAST CORP-CLASS A</v>
      </c>
      <c r="D104" t="str" cm="1">
        <f t="array" ref="D104">_xll.BQL($A104, "Crncy")</f>
        <v>USD</v>
      </c>
      <c r="E104" t="str" cm="1">
        <f t="array" ref="E104">_xll.BDP(B104,"ex028")</f>
        <v>Equity</v>
      </c>
      <c r="F104" t="str" cm="1">
        <f t="array" ref="F104">_xll.BDP($B104,"Security_Typ")</f>
        <v>Common Stock</v>
      </c>
      <c r="G104" t="str" cm="1">
        <f t="array" ref="G104">_xll.BDP($B104,"Gics_Sector_Name")</f>
        <v>Communication Services</v>
      </c>
      <c r="H104" t="str" cm="1">
        <f t="array" ref="H104">IF(OR(F104="ETP",F104="Open-End Fund"),_xll.BDP($B104,"FD121"),"")</f>
        <v/>
      </c>
      <c r="I104" t="str" cm="1">
        <f t="array" ref="I104">IF(OR(F104="ETP",F104="Open-End Fund"),_xll.BDP($B104,"Fund_Objective_Long"),"")</f>
        <v/>
      </c>
      <c r="K104" t="str">
        <f t="shared" si="6"/>
        <v>Comcast Corp-Class A</v>
      </c>
    </row>
    <row r="105" spans="1:11" x14ac:dyDescent="0.25">
      <c r="A105" t="s">
        <v>103</v>
      </c>
      <c r="B105" t="str" cm="1">
        <f t="array" ref="B105">_xll.BQL($A105&amp;" Equity", "BB_Default_Risk_Obligor_Ticker")</f>
        <v>DE US Equity</v>
      </c>
      <c r="C105" t="str" cm="1">
        <f t="array" ref="C105">_xll.BDP($A105&amp;" Equity","Name")</f>
        <v>DEERE &amp; CO</v>
      </c>
      <c r="D105" t="str" cm="1">
        <f t="array" ref="D105">_xll.BQL($A105, "Crncy")</f>
        <v>USD</v>
      </c>
      <c r="E105" t="str" cm="1">
        <f t="array" ref="E105">_xll.BDP(B105,"ex028")</f>
        <v>Equity</v>
      </c>
      <c r="F105" t="str" cm="1">
        <f t="array" ref="F105">_xll.BDP($B105,"Security_Typ")</f>
        <v>Common Stock</v>
      </c>
      <c r="G105" t="str" cm="1">
        <f t="array" ref="G105">_xll.BDP($B105,"Gics_Sector_Name")</f>
        <v>Industrials</v>
      </c>
      <c r="H105" t="str" cm="1">
        <f t="array" ref="H105">IF(OR(F105="ETP",F105="Open-End Fund"),_xll.BDP($B105,"FD121"),"")</f>
        <v/>
      </c>
      <c r="I105" t="str" cm="1">
        <f t="array" ref="I105">IF(OR(F105="ETP",F105="Open-End Fund"),_xll.BDP($B105,"Fund_Objective_Long"),"")</f>
        <v/>
      </c>
      <c r="K105" t="str">
        <f t="shared" si="6"/>
        <v>Deere &amp; Co</v>
      </c>
    </row>
    <row r="106" spans="1:11" x14ac:dyDescent="0.25">
      <c r="A106" t="s">
        <v>104</v>
      </c>
      <c r="B106" t="str" cm="1">
        <f t="array" ref="B106">_xll.BQL($A106&amp;" Equity", "BB_Default_Risk_Obligor_Ticker")</f>
        <v>DOCN US Equity</v>
      </c>
      <c r="C106" t="str" cm="1">
        <f t="array" ref="C106">_xll.BDP($A106&amp;" Equity","Name")</f>
        <v>DIGITALOCEAN HOLDINGS INC</v>
      </c>
      <c r="D106" t="str" cm="1">
        <f t="array" ref="D106">_xll.BQL($A106, "Crncy")</f>
        <v>USD</v>
      </c>
      <c r="E106" t="str" cm="1">
        <f t="array" ref="E106">_xll.BDP(B106,"ex028")</f>
        <v>Equity</v>
      </c>
      <c r="F106" t="str" cm="1">
        <f t="array" ref="F106">_xll.BDP($B106,"Security_Typ")</f>
        <v>Common Stock</v>
      </c>
      <c r="G106" t="str" cm="1">
        <f t="array" ref="G106">_xll.BDP($B106,"Gics_Sector_Name")</f>
        <v>Information Technology</v>
      </c>
      <c r="H106" t="str" cm="1">
        <f t="array" ref="H106">IF(OR(F106="ETP",F106="Open-End Fund"),_xll.BDP($B106,"FD121"),"")</f>
        <v/>
      </c>
      <c r="I106" t="str" cm="1">
        <f t="array" ref="I106">IF(OR(F106="ETP",F106="Open-End Fund"),_xll.BDP($B106,"Fund_Objective_Long"),"")</f>
        <v/>
      </c>
      <c r="K106" t="str">
        <f t="shared" si="6"/>
        <v>Digitalocean Holdings Inc</v>
      </c>
    </row>
    <row r="107" spans="1:11" x14ac:dyDescent="0.25">
      <c r="A107" t="s">
        <v>105</v>
      </c>
      <c r="B107" t="str" cm="1">
        <f t="array" ref="B107">_xll.BQL($A107&amp;" Equity", "BB_Default_Risk_Obligor_Ticker")</f>
        <v>GS US Equity</v>
      </c>
      <c r="C107" t="str" cm="1">
        <f t="array" ref="C107">_xll.BDP($A107&amp;" Equity","Name")</f>
        <v>GOLDMAN SACHS GROUP INC</v>
      </c>
      <c r="D107" t="str" cm="1">
        <f t="array" ref="D107">_xll.BQL($A107, "Crncy")</f>
        <v>USD</v>
      </c>
      <c r="E107" t="str" cm="1">
        <f t="array" ref="E107">_xll.BDP(B107,"ex028")</f>
        <v>Equity</v>
      </c>
      <c r="F107" t="str" cm="1">
        <f t="array" ref="F107">_xll.BDP($B107,"Security_Typ")</f>
        <v>Common Stock</v>
      </c>
      <c r="G107" t="str" cm="1">
        <f t="array" ref="G107">_xll.BDP($B107,"Gics_Sector_Name")</f>
        <v>Financials</v>
      </c>
      <c r="H107" t="str" cm="1">
        <f t="array" ref="H107">IF(OR(F107="ETP",F107="Open-End Fund"),_xll.BDP($B107,"FD121"),"")</f>
        <v/>
      </c>
      <c r="I107" t="str" cm="1">
        <f t="array" ref="I107">IF(OR(F107="ETP",F107="Open-End Fund"),_xll.BDP($B107,"Fund_Objective_Long"),"")</f>
        <v/>
      </c>
      <c r="K107" t="str">
        <f t="shared" si="6"/>
        <v>Goldman Sachs Group Inc</v>
      </c>
    </row>
    <row r="108" spans="1:11" x14ac:dyDescent="0.25">
      <c r="A108" t="s">
        <v>106</v>
      </c>
      <c r="B108" t="str" cm="1">
        <f t="array" ref="B108">_xll.BQL($A108&amp;" Equity", "BB_Default_Risk_Obligor_Ticker")</f>
        <v>QQQ US Equity</v>
      </c>
      <c r="C108" t="str" cm="1">
        <f t="array" ref="C108">_xll.BDP($A108&amp;" Equity","Name")</f>
        <v>INVESCO QQQ TRUST SERIES 1</v>
      </c>
      <c r="D108" t="str" cm="1">
        <f t="array" ref="D108">_xll.BQL($A108, "Crncy")</f>
        <v>USD</v>
      </c>
      <c r="E108" t="str" cm="1">
        <f t="array" ref="E108">_xll.BDP(B108,"ex028")</f>
        <v>Fund</v>
      </c>
      <c r="F108" t="str" cm="1">
        <f t="array" ref="F108">_xll.BDP($B108,"Security_Typ")</f>
        <v>ETP</v>
      </c>
      <c r="G108" t="str" cm="1">
        <f t="array" ref="G108">_xll.BDP($B108,"Gics_Sector_Name")</f>
        <v>#N/A N/A</v>
      </c>
      <c r="H108" t="str" cm="1">
        <f t="array" ref="H108">IF(OR(F108="ETP",F108="Open-End Fund"),_xll.BDP($B108,"FD121"),"")</f>
        <v>Equity</v>
      </c>
      <c r="I108" t="str" cm="1">
        <f t="array" ref="I108">IF(OR(F108="ETP",F108="Open-End Fund"),_xll.BDP($B108,"Fund_Objective_Long"),"")</f>
        <v>Large-cap</v>
      </c>
      <c r="K108" t="str">
        <f t="shared" si="6"/>
        <v>Invesco Qqq Trust Series 1</v>
      </c>
    </row>
    <row r="109" spans="1:11" x14ac:dyDescent="0.25">
      <c r="A109" t="s">
        <v>107</v>
      </c>
      <c r="B109" t="str" cm="1">
        <f t="array" ref="B109">_xll.BQL($A109&amp;" Equity", "BB_Default_Risk_Obligor_Ticker")</f>
        <v>LQD US Equity</v>
      </c>
      <c r="C109" t="str" cm="1">
        <f t="array" ref="C109">_xll.BDP($A109&amp;" Equity","Name")</f>
        <v>ISHARES IBOXX INVESTMENT GRA</v>
      </c>
      <c r="D109" t="str" cm="1">
        <f t="array" ref="D109">_xll.BQL($A109, "Crncy")</f>
        <v>USD</v>
      </c>
      <c r="E109" t="str" cm="1">
        <f t="array" ref="E109">_xll.BDP(B109,"ex028")</f>
        <v>Fund</v>
      </c>
      <c r="F109" t="str" cm="1">
        <f t="array" ref="F109">_xll.BDP($B109,"Security_Typ")</f>
        <v>ETP</v>
      </c>
      <c r="G109" t="str" cm="1">
        <f t="array" ref="G109">_xll.BDP($B109,"Gics_Sector_Name")</f>
        <v>#N/A N/A</v>
      </c>
      <c r="H109" t="str" cm="1">
        <f t="array" ref="H109">IF(OR(F109="ETP",F109="Open-End Fund"),_xll.BDP($B109,"FD121"),"")</f>
        <v>Fixed Income</v>
      </c>
      <c r="I109" t="str" cm="1">
        <f t="array" ref="I109">IF(OR(F109="ETP",F109="Open-End Fund"),_xll.BDP($B109,"Fund_Objective_Long"),"")</f>
        <v>Corporate</v>
      </c>
      <c r="K109" t="str">
        <f t="shared" si="6"/>
        <v>Ishares Iboxx Investment Gra</v>
      </c>
    </row>
    <row r="110" spans="1:11" x14ac:dyDescent="0.25">
      <c r="A110" t="s">
        <v>108</v>
      </c>
      <c r="B110" t="str" cm="1">
        <f t="array" ref="B110">_xll.BQL($A110&amp;" Equity", "BB_Default_Risk_Obligor_Ticker")</f>
        <v>IBB US Equity</v>
      </c>
      <c r="C110" t="str" cm="1">
        <f t="array" ref="C110">_xll.BDP($A110&amp;" Equity","Name")</f>
        <v>ISHARES BIOTECHNOLOGY ETF</v>
      </c>
      <c r="D110" t="str" cm="1">
        <f t="array" ref="D110">_xll.BQL($A110, "Crncy")</f>
        <v>USD</v>
      </c>
      <c r="E110" t="str" cm="1">
        <f t="array" ref="E110">_xll.BDP(B110,"ex028")</f>
        <v>Fund</v>
      </c>
      <c r="F110" t="str" cm="1">
        <f t="array" ref="F110">_xll.BDP($B110,"Security_Typ")</f>
        <v>ETP</v>
      </c>
      <c r="G110" t="str" cm="1">
        <f t="array" ref="G110">_xll.BDP($B110,"Gics_Sector_Name")</f>
        <v>#N/A N/A</v>
      </c>
      <c r="H110" t="str" cm="1">
        <f t="array" ref="H110">IF(OR(F110="ETP",F110="Open-End Fund"),_xll.BDP($B110,"FD121"),"")</f>
        <v>Equity</v>
      </c>
      <c r="I110" t="str" cm="1">
        <f t="array" ref="I110">IF(OR(F110="ETP",F110="Open-End Fund"),_xll.BDP($B110,"Fund_Objective_Long"),"")</f>
        <v>Health Care</v>
      </c>
      <c r="K110" t="str">
        <f t="shared" si="6"/>
        <v>Ishares Biotechnology Etf</v>
      </c>
    </row>
    <row r="111" spans="1:11" x14ac:dyDescent="0.25">
      <c r="A111" t="s">
        <v>109</v>
      </c>
      <c r="B111" t="str" cm="1">
        <f t="array" ref="B111">_xll.BQL($A111&amp;" Equity", "BB_Default_Risk_Obligor_Ticker")</f>
        <v>IHI US Equity</v>
      </c>
      <c r="C111" t="str" cm="1">
        <f t="array" ref="C111">_xll.BDP($A111&amp;" Equity","Name")</f>
        <v>ISHARES U.S. MEDICAL DEVICES</v>
      </c>
      <c r="D111" t="str" cm="1">
        <f t="array" ref="D111">_xll.BQL($A111, "Crncy")</f>
        <v>USD</v>
      </c>
      <c r="E111" t="str" cm="1">
        <f t="array" ref="E111">_xll.BDP(B111,"ex028")</f>
        <v>Fund</v>
      </c>
      <c r="F111" t="str" cm="1">
        <f t="array" ref="F111">_xll.BDP($B111,"Security_Typ")</f>
        <v>ETP</v>
      </c>
      <c r="G111" t="str" cm="1">
        <f t="array" ref="G111">_xll.BDP($B111,"Gics_Sector_Name")</f>
        <v>#N/A N/A</v>
      </c>
      <c r="H111" t="str" cm="1">
        <f t="array" ref="H111">IF(OR(F111="ETP",F111="Open-End Fund"),_xll.BDP($B111,"FD121"),"")</f>
        <v>Equity</v>
      </c>
      <c r="I111" t="str" cm="1">
        <f t="array" ref="I111">IF(OR(F111="ETP",F111="Open-End Fund"),_xll.BDP($B111,"Fund_Objective_Long"),"")</f>
        <v>Health Care</v>
      </c>
      <c r="K111" t="str">
        <f t="shared" si="6"/>
        <v>Ishares U.S. Medical Devices</v>
      </c>
    </row>
    <row r="112" spans="1:11" x14ac:dyDescent="0.25">
      <c r="A112" t="s">
        <v>110</v>
      </c>
      <c r="B112" t="str" cm="1">
        <f t="array" ref="B112">_xll.BQL($A112&amp;" Equity", "BB_Default_Risk_Obligor_Ticker")</f>
        <v>EMXC US Equity</v>
      </c>
      <c r="C112" t="str" cm="1">
        <f t="array" ref="C112">_xll.BDP($A112&amp;" Equity","Name")</f>
        <v>ISHARES MSCI EMR MRK EX CHNA</v>
      </c>
      <c r="D112" t="str" cm="1">
        <f t="array" ref="D112">_xll.BQL($A112, "Crncy")</f>
        <v>USD</v>
      </c>
      <c r="E112" t="str" cm="1">
        <f t="array" ref="E112">_xll.BDP(B112,"ex028")</f>
        <v>Fund</v>
      </c>
      <c r="F112" t="str" cm="1">
        <f t="array" ref="F112">_xll.BDP($B112,"Security_Typ")</f>
        <v>ETP</v>
      </c>
      <c r="G112" t="str" cm="1">
        <f t="array" ref="G112">_xll.BDP($B112,"Gics_Sector_Name")</f>
        <v>#N/A N/A</v>
      </c>
      <c r="H112" t="str" cm="1">
        <f t="array" ref="H112">IF(OR(F112="ETP",F112="Open-End Fund"),_xll.BDP($B112,"FD121"),"")</f>
        <v>Equity</v>
      </c>
      <c r="I112" t="str" cm="1">
        <f t="array" ref="I112">IF(OR(F112="ETP",F112="Open-End Fund"),_xll.BDP($B112,"Fund_Objective_Long"),"")</f>
        <v>Emerging Markets</v>
      </c>
      <c r="K112" t="str">
        <f t="shared" si="6"/>
        <v>Ishares Msci Emr Mrk Ex Chna</v>
      </c>
    </row>
    <row r="113" spans="1:11" x14ac:dyDescent="0.25">
      <c r="A113" t="s">
        <v>111</v>
      </c>
      <c r="B113" t="str" cm="1">
        <f t="array" ref="B113">_xll.BQL($A113&amp;" Equity", "BB_Default_Risk_Obligor_Ticker")</f>
        <v>LRCX US Equity</v>
      </c>
      <c r="C113" t="str" cm="1">
        <f t="array" ref="C113">_xll.BDP($A113&amp;" Equity","Name")</f>
        <v>LAM RESEARCH CORP</v>
      </c>
      <c r="D113" t="str" cm="1">
        <f t="array" ref="D113">_xll.BQL($A113, "Crncy")</f>
        <v>USD</v>
      </c>
      <c r="E113" t="str" cm="1">
        <f t="array" ref="E113">_xll.BDP(B113,"ex028")</f>
        <v>Equity</v>
      </c>
      <c r="F113" t="str" cm="1">
        <f t="array" ref="F113">_xll.BDP($B113,"Security_Typ")</f>
        <v>Common Stock</v>
      </c>
      <c r="G113" t="str" cm="1">
        <f t="array" ref="G113">_xll.BDP($B113,"Gics_Sector_Name")</f>
        <v>Information Technology</v>
      </c>
      <c r="H113" t="str" cm="1">
        <f t="array" ref="H113">IF(OR(F113="ETP",F113="Open-End Fund"),_xll.BDP($B113,"FD121"),"")</f>
        <v/>
      </c>
      <c r="I113" t="str" cm="1">
        <f t="array" ref="I113">IF(OR(F113="ETP",F113="Open-End Fund"),_xll.BDP($B113,"Fund_Objective_Long"),"")</f>
        <v/>
      </c>
      <c r="K113" t="str">
        <f t="shared" si="6"/>
        <v>Lam Research Corp</v>
      </c>
    </row>
    <row r="114" spans="1:11" x14ac:dyDescent="0.25">
      <c r="A114" t="s">
        <v>112</v>
      </c>
      <c r="B114" t="str" cm="1">
        <f t="array" ref="B114">_xll.BQL($A114&amp;" Equity", "BB_Default_Risk_Obligor_Ticker")</f>
        <v>LMT US Equity</v>
      </c>
      <c r="C114" t="str" cm="1">
        <f t="array" ref="C114">_xll.BDP($A114&amp;" Equity","Name")</f>
        <v>LOCKHEED MARTIN CORP</v>
      </c>
      <c r="D114" t="str" cm="1">
        <f t="array" ref="D114">_xll.BQL($A114, "Crncy")</f>
        <v>USD</v>
      </c>
      <c r="E114" t="str" cm="1">
        <f t="array" ref="E114">_xll.BDP(B114,"ex028")</f>
        <v>Equity</v>
      </c>
      <c r="F114" t="str" cm="1">
        <f t="array" ref="F114">_xll.BDP($B114,"Security_Typ")</f>
        <v>Common Stock</v>
      </c>
      <c r="G114" t="str" cm="1">
        <f t="array" ref="G114">_xll.BDP($B114,"Gics_Sector_Name")</f>
        <v>Industrials</v>
      </c>
      <c r="H114" t="str" cm="1">
        <f t="array" ref="H114">IF(OR(F114="ETP",F114="Open-End Fund"),_xll.BDP($B114,"FD121"),"")</f>
        <v/>
      </c>
      <c r="I114" t="str" cm="1">
        <f t="array" ref="I114">IF(OR(F114="ETP",F114="Open-End Fund"),_xll.BDP($B114,"Fund_Objective_Long"),"")</f>
        <v/>
      </c>
      <c r="K114" t="str">
        <f t="shared" si="6"/>
        <v>Lockheed Martin Corp</v>
      </c>
    </row>
    <row r="115" spans="1:11" x14ac:dyDescent="0.25">
      <c r="A115" t="s">
        <v>113</v>
      </c>
      <c r="B115" t="str" cm="1">
        <f t="array" ref="B115">_xll.BQL($A115&amp;" Equity", "BB_Default_Risk_Obligor_Ticker")</f>
        <v>MRK US Equity</v>
      </c>
      <c r="C115" t="str" cm="1">
        <f t="array" ref="C115">_xll.BDP($A115&amp;" Equity","Name")</f>
        <v>MERCK &amp; CO. INC.</v>
      </c>
      <c r="D115" t="str" cm="1">
        <f t="array" ref="D115">_xll.BQL($A115, "Crncy")</f>
        <v>USD</v>
      </c>
      <c r="E115" t="str" cm="1">
        <f t="array" ref="E115">_xll.BDP(B115,"ex028")</f>
        <v>Equity</v>
      </c>
      <c r="F115" t="str" cm="1">
        <f t="array" ref="F115">_xll.BDP($B115,"Security_Typ")</f>
        <v>Common Stock</v>
      </c>
      <c r="G115" t="str" cm="1">
        <f t="array" ref="G115">_xll.BDP($B115,"Gics_Sector_Name")</f>
        <v>Health Care</v>
      </c>
      <c r="H115" t="str" cm="1">
        <f t="array" ref="H115">IF(OR(F115="ETP",F115="Open-End Fund"),_xll.BDP($B115,"FD121"),"")</f>
        <v/>
      </c>
      <c r="I115" t="str" cm="1">
        <f t="array" ref="I115">IF(OR(F115="ETP",F115="Open-End Fund"),_xll.BDP($B115,"Fund_Objective_Long"),"")</f>
        <v/>
      </c>
      <c r="K115" t="str">
        <f t="shared" si="6"/>
        <v>Merck &amp; Co. Inc.</v>
      </c>
    </row>
    <row r="116" spans="1:11" x14ac:dyDescent="0.25">
      <c r="A116" t="s">
        <v>114</v>
      </c>
      <c r="B116" t="str" cm="1">
        <f t="array" ref="B116">_xll.BQL($A116&amp;" Equity", "BB_Default_Risk_Obligor_Ticker")</f>
        <v>MSFT US Equity</v>
      </c>
      <c r="C116" t="str" cm="1">
        <f t="array" ref="C116">_xll.BDP($A116&amp;" Equity","Name")</f>
        <v>MICROSOFT CORP</v>
      </c>
      <c r="D116" t="str" cm="1">
        <f t="array" ref="D116">_xll.BQL($A116, "Crncy")</f>
        <v>USD</v>
      </c>
      <c r="E116" t="str" cm="1">
        <f t="array" ref="E116">_xll.BDP(B116,"ex028")</f>
        <v>Equity</v>
      </c>
      <c r="F116" t="str" cm="1">
        <f t="array" ref="F116">_xll.BDP($B116,"Security_Typ")</f>
        <v>Common Stock</v>
      </c>
      <c r="G116" t="str" cm="1">
        <f t="array" ref="G116">_xll.BDP($B116,"Gics_Sector_Name")</f>
        <v>Information Technology</v>
      </c>
      <c r="H116" t="str" cm="1">
        <f t="array" ref="H116">IF(OR(F116="ETP",F116="Open-End Fund"),_xll.BDP($B116,"FD121"),"")</f>
        <v/>
      </c>
      <c r="I116" t="str" cm="1">
        <f t="array" ref="I116">IF(OR(F116="ETP",F116="Open-End Fund"),_xll.BDP($B116,"Fund_Objective_Long"),"")</f>
        <v/>
      </c>
      <c r="K116" t="str">
        <f t="shared" si="6"/>
        <v>Microsoft Corp</v>
      </c>
    </row>
    <row r="117" spans="1:11" x14ac:dyDescent="0.25">
      <c r="A117" t="s">
        <v>115</v>
      </c>
      <c r="B117" t="str" cm="1">
        <f t="array" ref="B117">_xll.BQL($A117&amp;" Equity", "BB_Default_Risk_Obligor_Ticker")</f>
        <v>MS US Equity</v>
      </c>
      <c r="C117" t="str" cm="1">
        <f t="array" ref="C117">_xll.BDP($A117&amp;" Equity","Name")</f>
        <v>MORGAN STANLEY</v>
      </c>
      <c r="D117" t="str" cm="1">
        <f t="array" ref="D117">_xll.BQL($A117, "Crncy")</f>
        <v>USD</v>
      </c>
      <c r="E117" t="str" cm="1">
        <f t="array" ref="E117">_xll.BDP(B117,"ex028")</f>
        <v>Equity</v>
      </c>
      <c r="F117" t="str" cm="1">
        <f t="array" ref="F117">_xll.BDP($B117,"Security_Typ")</f>
        <v>Common Stock</v>
      </c>
      <c r="G117" t="str" cm="1">
        <f t="array" ref="G117">_xll.BDP($B117,"Gics_Sector_Name")</f>
        <v>Financials</v>
      </c>
      <c r="H117" t="str" cm="1">
        <f t="array" ref="H117">IF(OR(F117="ETP",F117="Open-End Fund"),_xll.BDP($B117,"FD121"),"")</f>
        <v/>
      </c>
      <c r="I117" t="str" cm="1">
        <f t="array" ref="I117">IF(OR(F117="ETP",F117="Open-End Fund"),_xll.BDP($B117,"Fund_Objective_Long"),"")</f>
        <v/>
      </c>
      <c r="K117" t="str">
        <f t="shared" si="6"/>
        <v>Morgan Stanley</v>
      </c>
    </row>
    <row r="118" spans="1:11" x14ac:dyDescent="0.25">
      <c r="A118" t="s">
        <v>116</v>
      </c>
      <c r="B118" t="str" cm="1">
        <f t="array" ref="B118">_xll.BQL($A118&amp;" Equity", "BB_Default_Risk_Obligor_Ticker")</f>
        <v>NOC US Equity</v>
      </c>
      <c r="C118" t="str" cm="1">
        <f t="array" ref="C118">_xll.BDP($A118&amp;" Equity","Name")</f>
        <v>NORTHROP GRUMMAN CORP</v>
      </c>
      <c r="D118" t="str" cm="1">
        <f t="array" ref="D118">_xll.BQL($A118, "Crncy")</f>
        <v>USD</v>
      </c>
      <c r="E118" t="str" cm="1">
        <f t="array" ref="E118">_xll.BDP(B118,"ex028")</f>
        <v>Equity</v>
      </c>
      <c r="F118" t="str" cm="1">
        <f t="array" ref="F118">_xll.BDP($B118,"Security_Typ")</f>
        <v>Common Stock</v>
      </c>
      <c r="G118" t="str" cm="1">
        <f t="array" ref="G118">_xll.BDP($B118,"Gics_Sector_Name")</f>
        <v>Industrials</v>
      </c>
      <c r="H118" t="str" cm="1">
        <f t="array" ref="H118">IF(OR(F118="ETP",F118="Open-End Fund"),_xll.BDP($B118,"FD121"),"")</f>
        <v/>
      </c>
      <c r="I118" t="str" cm="1">
        <f t="array" ref="I118">IF(OR(F118="ETP",F118="Open-End Fund"),_xll.BDP($B118,"Fund_Objective_Long"),"")</f>
        <v/>
      </c>
      <c r="K118" t="str">
        <f t="shared" si="6"/>
        <v>Northrop Grumman Corp</v>
      </c>
    </row>
    <row r="119" spans="1:11" x14ac:dyDescent="0.25">
      <c r="A119" t="s">
        <v>117</v>
      </c>
      <c r="B119" t="str" cm="1">
        <f t="array" ref="B119">_xll.BQL($A119&amp;" Equity", "BB_Default_Risk_Obligor_Ticker")</f>
        <v>PCAR US Equity</v>
      </c>
      <c r="C119" t="str" cm="1">
        <f t="array" ref="C119">_xll.BDP($A119&amp;" Equity","Name")</f>
        <v>PACCAR INC</v>
      </c>
      <c r="D119" t="str" cm="1">
        <f t="array" ref="D119">_xll.BQL($A119, "Crncy")</f>
        <v>USD</v>
      </c>
      <c r="E119" t="str" cm="1">
        <f t="array" ref="E119">_xll.BDP(B119,"ex028")</f>
        <v>Equity</v>
      </c>
      <c r="F119" t="str" cm="1">
        <f t="array" ref="F119">_xll.BDP($B119,"Security_Typ")</f>
        <v>Common Stock</v>
      </c>
      <c r="G119" t="str" cm="1">
        <f t="array" ref="G119">_xll.BDP($B119,"Gics_Sector_Name")</f>
        <v>Industrials</v>
      </c>
      <c r="H119" t="str" cm="1">
        <f t="array" ref="H119">IF(OR(F119="ETP",F119="Open-End Fund"),_xll.BDP($B119,"FD121"),"")</f>
        <v/>
      </c>
      <c r="I119" t="str" cm="1">
        <f t="array" ref="I119">IF(OR(F119="ETP",F119="Open-End Fund"),_xll.BDP($B119,"Fund_Objective_Long"),"")</f>
        <v/>
      </c>
      <c r="K119" t="str">
        <f t="shared" si="6"/>
        <v>Paccar Inc</v>
      </c>
    </row>
    <row r="120" spans="1:11" x14ac:dyDescent="0.25">
      <c r="A120" t="s">
        <v>118</v>
      </c>
      <c r="B120" t="str" cm="1">
        <f t="array" ref="B120">_xll.BQL($A120&amp;" Equity", "BB_Default_Risk_Obligor_Ticker")</f>
        <v>PFE US Equity</v>
      </c>
      <c r="C120" t="str" cm="1">
        <f t="array" ref="C120">_xll.BDP($A120&amp;" Equity","Name")</f>
        <v>PFIZER INC</v>
      </c>
      <c r="D120" t="str" cm="1">
        <f t="array" ref="D120">_xll.BQL($A120, "Crncy")</f>
        <v>USD</v>
      </c>
      <c r="E120" t="str" cm="1">
        <f t="array" ref="E120">_xll.BDP(B120,"ex028")</f>
        <v>Equity</v>
      </c>
      <c r="F120" t="str" cm="1">
        <f t="array" ref="F120">_xll.BDP($B120,"Security_Typ")</f>
        <v>Common Stock</v>
      </c>
      <c r="G120" t="str" cm="1">
        <f t="array" ref="G120">_xll.BDP($B120,"Gics_Sector_Name")</f>
        <v>Health Care</v>
      </c>
      <c r="H120" t="str" cm="1">
        <f t="array" ref="H120">IF(OR(F120="ETP",F120="Open-End Fund"),_xll.BDP($B120,"FD121"),"")</f>
        <v/>
      </c>
      <c r="I120" t="str" cm="1">
        <f t="array" ref="I120">IF(OR(F120="ETP",F120="Open-End Fund"),_xll.BDP($B120,"Fund_Objective_Long"),"")</f>
        <v/>
      </c>
      <c r="K120" t="str">
        <f t="shared" si="6"/>
        <v>Pfizer Inc</v>
      </c>
    </row>
    <row r="121" spans="1:11" x14ac:dyDescent="0.25">
      <c r="A121" t="s">
        <v>119</v>
      </c>
      <c r="B121" t="str" cm="1">
        <f t="array" ref="B121">_xll.BQL($A121&amp;" Equity", "BB_Default_Risk_Obligor_Ticker")</f>
        <v>QCOM US Equity</v>
      </c>
      <c r="C121" t="str" cm="1">
        <f t="array" ref="C121">_xll.BDP($A121&amp;" Equity","Name")</f>
        <v>QUALCOMM INC</v>
      </c>
      <c r="D121" t="str" cm="1">
        <f t="array" ref="D121">_xll.BQL($A121, "Crncy")</f>
        <v>USD</v>
      </c>
      <c r="E121" t="str" cm="1">
        <f t="array" ref="E121">_xll.BDP(B121,"ex028")</f>
        <v>Equity</v>
      </c>
      <c r="F121" t="str" cm="1">
        <f t="array" ref="F121">_xll.BDP($B121,"Security_Typ")</f>
        <v>Common Stock</v>
      </c>
      <c r="G121" t="str" cm="1">
        <f t="array" ref="G121">_xll.BDP($B121,"Gics_Sector_Name")</f>
        <v>Information Technology</v>
      </c>
      <c r="H121" t="str" cm="1">
        <f t="array" ref="H121">IF(OR(F121="ETP",F121="Open-End Fund"),_xll.BDP($B121,"FD121"),"")</f>
        <v/>
      </c>
      <c r="I121" t="str" cm="1">
        <f t="array" ref="I121">IF(OR(F121="ETP",F121="Open-End Fund"),_xll.BDP($B121,"Fund_Objective_Long"),"")</f>
        <v/>
      </c>
      <c r="K121" t="str">
        <f t="shared" si="6"/>
        <v>Qualcomm Inc</v>
      </c>
    </row>
    <row r="122" spans="1:11" x14ac:dyDescent="0.25">
      <c r="A122" t="s">
        <v>120</v>
      </c>
      <c r="B122" t="str" cm="1">
        <f t="array" ref="B122">_xll.BQL($A122&amp;" Equity", "BB_Default_Risk_Obligor_Ticker")</f>
        <v>QLYS US Equity</v>
      </c>
      <c r="C122" t="str" cm="1">
        <f t="array" ref="C122">_xll.BDP($A122&amp;" Equity","Name")</f>
        <v>QUALYS INC</v>
      </c>
      <c r="D122" t="str" cm="1">
        <f t="array" ref="D122">_xll.BQL($A122, "Crncy")</f>
        <v>USD</v>
      </c>
      <c r="E122" t="str" cm="1">
        <f t="array" ref="E122">_xll.BDP(B122,"ex028")</f>
        <v>Equity</v>
      </c>
      <c r="F122" t="str" cm="1">
        <f t="array" ref="F122">_xll.BDP($B122,"Security_Typ")</f>
        <v>Common Stock</v>
      </c>
      <c r="G122" t="str" cm="1">
        <f t="array" ref="G122">_xll.BDP($B122,"Gics_Sector_Name")</f>
        <v>Information Technology</v>
      </c>
      <c r="H122" t="str" cm="1">
        <f t="array" ref="H122">IF(OR(F122="ETP",F122="Open-End Fund"),_xll.BDP($B122,"FD121"),"")</f>
        <v/>
      </c>
      <c r="I122" t="str" cm="1">
        <f t="array" ref="I122">IF(OR(F122="ETP",F122="Open-End Fund"),_xll.BDP($B122,"Fund_Objective_Long"),"")</f>
        <v/>
      </c>
      <c r="K122" t="str">
        <f t="shared" si="6"/>
        <v>Qualys Inc</v>
      </c>
    </row>
    <row r="123" spans="1:11" x14ac:dyDescent="0.25">
      <c r="A123" t="s">
        <v>121</v>
      </c>
      <c r="B123" t="str" cm="1">
        <f t="array" ref="B123">_xll.BQL($A123&amp;" Equity", "BB_Default_Risk_Obligor_Ticker")</f>
        <v>SPY US Equity</v>
      </c>
      <c r="C123" t="str" cm="1">
        <f t="array" ref="C123">_xll.BDP($A123&amp;" Equity","Name")</f>
        <v>SPDR S&amp;P 500 ETF TRUST</v>
      </c>
      <c r="D123" t="str" cm="1">
        <f t="array" ref="D123">_xll.BQL($A123, "Crncy")</f>
        <v>USD</v>
      </c>
      <c r="E123" t="str" cm="1">
        <f t="array" ref="E123">_xll.BDP(B123,"ex028")</f>
        <v>Fund</v>
      </c>
      <c r="F123" t="str" cm="1">
        <f t="array" ref="F123">_xll.BDP($B123,"Security_Typ")</f>
        <v>ETP</v>
      </c>
      <c r="G123" t="str" cm="1">
        <f t="array" ref="G123">_xll.BDP($B123,"Gics_Sector_Name")</f>
        <v>#N/A N/A</v>
      </c>
      <c r="H123" t="str" cm="1">
        <f t="array" ref="H123">IF(OR(F123="ETP",F123="Open-End Fund"),_xll.BDP($B123,"FD121"),"")</f>
        <v>Equity</v>
      </c>
      <c r="I123" t="str" cm="1">
        <f t="array" ref="I123">IF(OR(F123="ETP",F123="Open-End Fund"),_xll.BDP($B123,"Fund_Objective_Long"),"")</f>
        <v>Large-cap</v>
      </c>
      <c r="K123" t="str">
        <f t="shared" si="6"/>
        <v>Spdr S&amp;P 500 Etf Trust</v>
      </c>
    </row>
    <row r="124" spans="1:11" x14ac:dyDescent="0.25">
      <c r="A124" t="s">
        <v>122</v>
      </c>
      <c r="B124" t="str" cm="1">
        <f t="array" ref="B124">_xll.BQL($A124&amp;" Equity", "BB_Default_Risk_Obligor_Ticker")</f>
        <v>GLD US Equity</v>
      </c>
      <c r="C124" t="str" cm="1">
        <f t="array" ref="C124">_xll.BDP($A124&amp;" Equity","Name")</f>
        <v>SPDR GOLD SHARES</v>
      </c>
      <c r="D124" t="str" cm="1">
        <f t="array" ref="D124">_xll.BQL($A124, "Crncy")</f>
        <v>USD</v>
      </c>
      <c r="E124" t="str" cm="1">
        <f t="array" ref="E124">_xll.BDP(B124,"ex028")</f>
        <v>Fund</v>
      </c>
      <c r="F124" t="str" cm="1">
        <f t="array" ref="F124">_xll.BDP($B124,"Security_Typ")</f>
        <v>ETP</v>
      </c>
      <c r="G124" t="str" cm="1">
        <f t="array" ref="G124">_xll.BDP($B124,"Gics_Sector_Name")</f>
        <v>#N/A N/A</v>
      </c>
      <c r="H124" t="str" cm="1">
        <f t="array" ref="H124">IF(OR(F124="ETP",F124="Open-End Fund"),_xll.BDP($B124,"FD121"),"")</f>
        <v>Commodity</v>
      </c>
      <c r="I124" t="str" cm="1">
        <f t="array" ref="I124">IF(OR(F124="ETP",F124="Open-End Fund"),_xll.BDP($B124,"Fund_Objective_Long"),"")</f>
        <v>Precious Metals</v>
      </c>
      <c r="K124" t="str">
        <f t="shared" si="6"/>
        <v>Spdr Gold Shares</v>
      </c>
    </row>
    <row r="125" spans="1:11" x14ac:dyDescent="0.25">
      <c r="A125" t="s">
        <v>123</v>
      </c>
      <c r="B125" t="str" cm="1">
        <f t="array" ref="B125">_xll.BQL($A125&amp;" Equity", "BB_Default_Risk_Obligor_Ticker")</f>
        <v>SDY US Equity</v>
      </c>
      <c r="C125" t="str" cm="1">
        <f t="array" ref="C125">_xll.BDP($A125&amp;" Equity","Name")</f>
        <v>SPDR S&amp;P DIVIDEND ETF</v>
      </c>
      <c r="D125" t="str" cm="1">
        <f t="array" ref="D125">_xll.BQL($A125, "Crncy")</f>
        <v>USD</v>
      </c>
      <c r="E125" t="str" cm="1">
        <f t="array" ref="E125">_xll.BDP(B125,"ex028")</f>
        <v>Fund</v>
      </c>
      <c r="F125" t="str" cm="1">
        <f t="array" ref="F125">_xll.BDP($B125,"Security_Typ")</f>
        <v>ETP</v>
      </c>
      <c r="G125" t="str" cm="1">
        <f t="array" ref="G125">_xll.BDP($B125,"Gics_Sector_Name")</f>
        <v>#N/A N/A</v>
      </c>
      <c r="H125" t="str" cm="1">
        <f t="array" ref="H125">IF(OR(F125="ETP",F125="Open-End Fund"),_xll.BDP($B125,"FD121"),"")</f>
        <v>Equity</v>
      </c>
      <c r="I125" t="str" cm="1">
        <f t="array" ref="I125">IF(OR(F125="ETP",F125="Open-End Fund"),_xll.BDP($B125,"Fund_Objective_Long"),"")</f>
        <v>Large-cap</v>
      </c>
      <c r="K125" t="str">
        <f t="shared" si="6"/>
        <v>Spdr S&amp;P Dividend Etf</v>
      </c>
    </row>
    <row r="126" spans="1:11" x14ac:dyDescent="0.25">
      <c r="A126" t="s">
        <v>124</v>
      </c>
      <c r="B126" t="str" cm="1">
        <f t="array" ref="B126">_xll.BQL($A126&amp;" Equity", "BB_Default_Risk_Obligor_Ticker")</f>
        <v>CRM US Equity</v>
      </c>
      <c r="C126" t="str" cm="1">
        <f t="array" ref="C126">_xll.BDP($A126&amp;" Equity","Name")</f>
        <v>SALESFORCE INC</v>
      </c>
      <c r="D126" t="str" cm="1">
        <f t="array" ref="D126">_xll.BQL($A126, "Crncy")</f>
        <v>USD</v>
      </c>
      <c r="E126" t="str" cm="1">
        <f t="array" ref="E126">_xll.BDP(B126,"ex028")</f>
        <v>Equity</v>
      </c>
      <c r="F126" t="str" cm="1">
        <f t="array" ref="F126">_xll.BDP($B126,"Security_Typ")</f>
        <v>Common Stock</v>
      </c>
      <c r="G126" t="str" cm="1">
        <f t="array" ref="G126">_xll.BDP($B126,"Gics_Sector_Name")</f>
        <v>Information Technology</v>
      </c>
      <c r="H126" t="str" cm="1">
        <f t="array" ref="H126">IF(OR(F126="ETP",F126="Open-End Fund"),_xll.BDP($B126,"FD121"),"")</f>
        <v/>
      </c>
      <c r="I126" t="str" cm="1">
        <f t="array" ref="I126">IF(OR(F126="ETP",F126="Open-End Fund"),_xll.BDP($B126,"Fund_Objective_Long"),"")</f>
        <v/>
      </c>
      <c r="K126" t="str">
        <f t="shared" si="6"/>
        <v>Salesforce Inc</v>
      </c>
    </row>
    <row r="127" spans="1:11" x14ac:dyDescent="0.25">
      <c r="A127" t="s">
        <v>125</v>
      </c>
      <c r="B127" t="str" cm="1">
        <f t="array" ref="B127">_xll.BQL($A127&amp;" Equity", "BB_Default_Risk_Obligor_Ticker")</f>
        <v>UGI US Equity</v>
      </c>
      <c r="C127" t="str" cm="1">
        <f t="array" ref="C127">_xll.BDP($A127&amp;" Equity","Name")</f>
        <v>UGI CORP</v>
      </c>
      <c r="D127" t="str" cm="1">
        <f t="array" ref="D127">_xll.BQL($A127, "Crncy")</f>
        <v>USD</v>
      </c>
      <c r="E127" t="str" cm="1">
        <f t="array" ref="E127">_xll.BDP(B127,"ex028")</f>
        <v>Equity</v>
      </c>
      <c r="F127" t="str" cm="1">
        <f t="array" ref="F127">_xll.BDP($B127,"Security_Typ")</f>
        <v>Common Stock</v>
      </c>
      <c r="G127" t="str" cm="1">
        <f t="array" ref="G127">_xll.BDP($B127,"Gics_Sector_Name")</f>
        <v>Utilities</v>
      </c>
      <c r="H127" t="str" cm="1">
        <f t="array" ref="H127">IF(OR(F127="ETP",F127="Open-End Fund"),_xll.BDP($B127,"FD121"),"")</f>
        <v/>
      </c>
      <c r="I127" t="str" cm="1">
        <f t="array" ref="I127">IF(OR(F127="ETP",F127="Open-End Fund"),_xll.BDP($B127,"Fund_Objective_Long"),"")</f>
        <v/>
      </c>
      <c r="K127" t="str">
        <f t="shared" si="6"/>
        <v>Ugi Corp</v>
      </c>
    </row>
    <row r="128" spans="1:11" x14ac:dyDescent="0.25">
      <c r="A128" t="s">
        <v>126</v>
      </c>
      <c r="B128" t="str">
        <f t="shared" ref="B128:B129" si="7">A128&amp;" Corp"</f>
        <v>US91282CHP95 Corp</v>
      </c>
      <c r="C128" t="str" cm="1">
        <f t="array" ref="C128">_xll.BDP($B128,"Security_Name")</f>
        <v>TII 1 3/8 07/15/33</v>
      </c>
      <c r="D128" t="str" cm="1">
        <f t="array" ref="D128">_xll.BQL($A128, "Crncy")</f>
        <v>USD</v>
      </c>
      <c r="E128" t="str" cm="1">
        <f t="array" ref="E128">_xll.BDP(B128,"ex028")</f>
        <v>FixedIncome</v>
      </c>
      <c r="F128" t="str" cm="1">
        <f t="array" ref="F128">_xll.BDP($B128,"Security_Typ")</f>
        <v>US GOVERNMENT</v>
      </c>
      <c r="G128" t="str" cm="1">
        <f t="array" ref="G128">_xll.BDP($B128,"Gics_Sector_Name")</f>
        <v>#N/A Field Not Applicable</v>
      </c>
      <c r="H128" t="str" cm="1">
        <f t="array" ref="H128">IF(OR(F128="ETP",F128="Open-End Fund"),_xll.BDP($B128,"FD121"),"")</f>
        <v/>
      </c>
      <c r="I128" t="str" cm="1">
        <f t="array" ref="I128">IF(OR(F128="ETP",F128="Open-End Fund"),_xll.BDP($B128,"Fund_Objective_Long"),"")</f>
        <v/>
      </c>
      <c r="K128" t="s">
        <v>155</v>
      </c>
    </row>
    <row r="129" spans="1:13" x14ac:dyDescent="0.25">
      <c r="A129" t="s">
        <v>127</v>
      </c>
      <c r="B129" t="str">
        <f t="shared" si="7"/>
        <v>USV03230AA39 Corp</v>
      </c>
      <c r="C129" t="str" cm="1">
        <f t="array" ref="C129">_xll.BDP($B129,"Security_Name")</f>
        <v>APPGF 3 1/2 04/30/03</v>
      </c>
      <c r="D129" t="str" cm="1">
        <f t="array" ref="D129">_xll.BQL($A129, "Crncy")</f>
        <v>USD</v>
      </c>
      <c r="E129" t="str" cm="1">
        <f t="array" ref="E129">_xll.BDP(B129,"ex028")</f>
        <v>FixedIncome</v>
      </c>
      <c r="F129" t="str" cm="1">
        <f t="array" ref="F129">_xll.BDP($B129,"Security_Typ")</f>
        <v>EURO-DOLLAR</v>
      </c>
      <c r="G129" t="str" cm="1">
        <f t="array" ref="G129">_xll.BDP($B129,"Gics_Sector_Name")</f>
        <v>#N/A Field Not Applicable</v>
      </c>
      <c r="H129" t="str" cm="1">
        <f t="array" ref="H129">IF(OR(F129="ETP",F129="Open-End Fund"),_xll.BDP($B129,"FD121"),"")</f>
        <v/>
      </c>
      <c r="I129" t="str" cm="1">
        <f t="array" ref="I129">IF(OR(F129="ETP",F129="Open-End Fund"),_xll.BDP($B129,"Fund_Objective_Long"),"")</f>
        <v/>
      </c>
      <c r="K129" t="s">
        <v>156</v>
      </c>
      <c r="L129" t="s">
        <v>148</v>
      </c>
      <c r="M129" t="s">
        <v>157</v>
      </c>
    </row>
    <row r="130" spans="1:13" x14ac:dyDescent="0.25">
      <c r="A130" t="s">
        <v>128</v>
      </c>
      <c r="B130" t="str" cm="1">
        <f t="array" ref="B130">_xll.BQL($A130&amp;" Equity", "BB_Default_Risk_Obligor_Ticker")</f>
        <v>#N/A</v>
      </c>
      <c r="C130" t="str" cm="1">
        <f t="array" ref="C130">_xll.BDP($A130&amp;" Equity","Name")</f>
        <v>#N/A Invalid Security</v>
      </c>
      <c r="D130" t="str" cm="1">
        <f t="array" ref="D130">_xll.BQL($A130, "Crncy")</f>
        <v>#N/A</v>
      </c>
      <c r="E130" t="str" cm="1">
        <f t="array" ref="E130">_xll.BDP(B130,"ex028")</f>
        <v>#N/A Invalid Security</v>
      </c>
      <c r="F130" t="str" cm="1">
        <f t="array" ref="F130">_xll.BDP($B130,"Security_Typ")</f>
        <v>#N/A Invalid Security</v>
      </c>
      <c r="G130" t="str" cm="1">
        <f t="array" ref="G130">_xll.BDP($B130,"Gics_Sector_Name")</f>
        <v>#N/A Invalid Security</v>
      </c>
      <c r="H130" t="str" cm="1">
        <f t="array" ref="H130">IF(OR(F130="ETP",F130="Open-End Fund"),_xll.BDP($B130,"FD121"),"")</f>
        <v/>
      </c>
      <c r="I130" t="str" cm="1">
        <f t="array" ref="I130">IF(OR(F130="ETP",F130="Open-End Fund"),_xll.BDP($B130,"Fund_Objective_Long"),"")</f>
        <v/>
      </c>
      <c r="K130" t="s">
        <v>160</v>
      </c>
      <c r="L130" t="s">
        <v>152</v>
      </c>
    </row>
    <row r="131" spans="1:13" x14ac:dyDescent="0.25">
      <c r="A131" t="s">
        <v>129</v>
      </c>
      <c r="B131" t="str" cm="1">
        <f t="array" ref="B131">_xll.BQL($A131&amp;" Equity", "BB_Default_Risk_Obligor_Ticker")</f>
        <v>#N/A</v>
      </c>
      <c r="C131" t="str" cm="1">
        <f t="array" ref="C131">_xll.BDP($A131&amp;" Equity","Name")</f>
        <v>#N/A Invalid Security</v>
      </c>
      <c r="D131" t="str" cm="1">
        <f t="array" ref="D131">_xll.BQL($A131, "Crncy")</f>
        <v>#N/A</v>
      </c>
      <c r="E131" t="str" cm="1">
        <f t="array" ref="E131">_xll.BDP(B131,"ex028")</f>
        <v>#N/A Invalid Security</v>
      </c>
      <c r="F131" t="str" cm="1">
        <f t="array" ref="F131">_xll.BDP($B131,"Security_Typ")</f>
        <v>#N/A Invalid Security</v>
      </c>
      <c r="G131" t="str" cm="1">
        <f t="array" ref="G131">_xll.BDP($B131,"Gics_Sector_Name")</f>
        <v>#N/A Invalid Security</v>
      </c>
      <c r="H131" t="str" cm="1">
        <f t="array" ref="H131">IF(OR(F131="ETP",F131="Open-End Fund"),_xll.BDP($B131,"FD121"),"")</f>
        <v/>
      </c>
      <c r="I131" t="str" cm="1">
        <f t="array" ref="I131">IF(OR(F131="ETP",F131="Open-End Fund"),_xll.BDP($B131,"Fund_Objective_Long"),"")</f>
        <v/>
      </c>
      <c r="K131" t="s">
        <v>158</v>
      </c>
      <c r="L131" t="s">
        <v>152</v>
      </c>
    </row>
    <row r="132" spans="1:13" x14ac:dyDescent="0.25">
      <c r="A132" t="s">
        <v>130</v>
      </c>
      <c r="B132" t="str" cm="1">
        <f t="array" ref="B132">_xll.BQL($A132&amp;" Equity", "BB_Default_Risk_Obligor_Ticker")</f>
        <v>#N/A</v>
      </c>
      <c r="C132" t="str" cm="1">
        <f t="array" ref="C132">_xll.BDP($A132&amp;" Equity","Name")</f>
        <v>#N/A Invalid Security</v>
      </c>
      <c r="D132" t="str" cm="1">
        <f t="array" ref="D132">_xll.BQL($A132, "Crncy")</f>
        <v>#N/A</v>
      </c>
      <c r="E132" t="str" cm="1">
        <f t="array" ref="E132">_xll.BDP(B132,"ex028")</f>
        <v>#N/A Invalid Security</v>
      </c>
      <c r="F132" t="str" cm="1">
        <f t="array" ref="F132">_xll.BDP($B132,"Security_Typ")</f>
        <v>#N/A Invalid Security</v>
      </c>
      <c r="G132" t="str" cm="1">
        <f t="array" ref="G132">_xll.BDP($B132,"Gics_Sector_Name")</f>
        <v>#N/A Invalid Security</v>
      </c>
      <c r="H132" t="str" cm="1">
        <f t="array" ref="H132">IF(OR(F132="ETP",F132="Open-End Fund"),_xll.BDP($B132,"FD121"),"")</f>
        <v/>
      </c>
      <c r="I132" t="str" cm="1">
        <f t="array" ref="I132">IF(OR(F132="ETP",F132="Open-End Fund"),_xll.BDP($B132,"Fund_Objective_Long"),"")</f>
        <v/>
      </c>
      <c r="K132" t="s">
        <v>159</v>
      </c>
      <c r="L132" t="s">
        <v>152</v>
      </c>
    </row>
    <row r="133" spans="1:13" x14ac:dyDescent="0.25">
      <c r="A133" t="s">
        <v>131</v>
      </c>
      <c r="B133" t="str" cm="1">
        <f t="array" ref="B133">_xll.BQL($A133&amp;" Equity", "BB_Default_Risk_Obligor_Ticker")</f>
        <v>#N/A</v>
      </c>
      <c r="C133" t="str" cm="1">
        <f t="array" ref="C133">_xll.BDP($A133&amp;" Equity","Name")</f>
        <v>PRIMA CAPITAL FUND-D-EURO</v>
      </c>
      <c r="D133" t="str" cm="1">
        <f t="array" ref="D133">_xll.BQL($A133, "Crncy")</f>
        <v>EUR</v>
      </c>
      <c r="E133" t="str" cm="1">
        <f t="array" ref="E133">_xll.BDP(B133,"ex028")</f>
        <v>#N/A Invalid Security</v>
      </c>
      <c r="F133" t="str" cm="1">
        <f t="array" ref="F133">_xll.BDP($B133,"Security_Typ")</f>
        <v>#N/A Invalid Security</v>
      </c>
      <c r="G133" t="str" cm="1">
        <f t="array" ref="G133">_xll.BDP($B133,"Gics_Sector_Name")</f>
        <v>#N/A Invalid Security</v>
      </c>
      <c r="H133" t="str" cm="1">
        <f t="array" ref="H133">IF(OR(F133="ETP",F133="Open-End Fund"),_xll.BDP($B133,"FD121"),"")</f>
        <v/>
      </c>
      <c r="I133" t="str" cm="1">
        <f t="array" ref="I133">IF(OR(F133="ETP",F133="Open-End Fund"),_xll.BDP($B133,"Fund_Objective_Long"),"")</f>
        <v/>
      </c>
      <c r="K133" t="str">
        <f t="shared" ref="K133:K134" si="8">PROPER(C133)</f>
        <v>Prima Capital Fund-D-Euro</v>
      </c>
    </row>
    <row r="134" spans="1:13" x14ac:dyDescent="0.25">
      <c r="A134" t="s">
        <v>132</v>
      </c>
      <c r="B134" t="str" cm="1">
        <f t="array" ref="B134">_xll.BQL($A134&amp;" Equity", "BB_Default_Risk_Obligor_Ticker")</f>
        <v>#N/A</v>
      </c>
      <c r="C134" t="str" cm="1">
        <f t="array" ref="C134">_xll.BDP($A134&amp;" Equity","Name")</f>
        <v>PRIMA CAPITAL FUND-C-CHF</v>
      </c>
      <c r="D134" t="str" cm="1">
        <f t="array" ref="D134">_xll.BQL($A134, "Crncy")</f>
        <v>CHF</v>
      </c>
      <c r="E134" t="str" cm="1">
        <f t="array" ref="E134">_xll.BDP(B134,"ex028")</f>
        <v>#N/A Invalid Security</v>
      </c>
      <c r="F134" t="str" cm="1">
        <f t="array" ref="F134">_xll.BDP($B134,"Security_Typ")</f>
        <v>#N/A Invalid Security</v>
      </c>
      <c r="G134" t="str" cm="1">
        <f t="array" ref="G134">_xll.BDP($B134,"Gics_Sector_Name")</f>
        <v>#N/A Invalid Security</v>
      </c>
      <c r="H134" t="str" cm="1">
        <f t="array" ref="H134">IF(OR(F134="ETP",F134="Open-End Fund"),_xll.BDP($B134,"FD121"),"")</f>
        <v/>
      </c>
      <c r="I134" t="str" cm="1">
        <f t="array" ref="I134">IF(OR(F134="ETP",F134="Open-End Fund"),_xll.BDP($B134,"Fund_Objective_Long"),"")</f>
        <v/>
      </c>
      <c r="K134" t="str">
        <f t="shared" si="8"/>
        <v>Prima Capital Fund-C-Chf</v>
      </c>
    </row>
    <row r="135" spans="1:13" x14ac:dyDescent="0.25">
      <c r="A135" t="s">
        <v>133</v>
      </c>
      <c r="B135" t="str" cm="1">
        <f t="array" ref="B135">_xll.BQL($A135&amp;" Equity", "BB_Default_Risk_Obligor_Ticker")</f>
        <v>#N/A</v>
      </c>
      <c r="C135" t="str" cm="1">
        <f t="array" ref="C135">_xll.BDP($A135&amp;" Equity","Name")</f>
        <v>#N/A Invalid Security</v>
      </c>
      <c r="D135" t="str" cm="1">
        <f t="array" ref="D135">_xll.BQL($A135, "Crncy")</f>
        <v>#N/A</v>
      </c>
      <c r="E135" t="str" cm="1">
        <f t="array" ref="E135">_xll.BDP(B135,"ex028")</f>
        <v>#N/A Invalid Security</v>
      </c>
      <c r="F135" t="str" cm="1">
        <f t="array" ref="F135">_xll.BDP($B135,"Security_Typ")</f>
        <v>#N/A Invalid Security</v>
      </c>
      <c r="G135" t="str" cm="1">
        <f t="array" ref="G135">_xll.BDP($B135,"Gics_Sector_Name")</f>
        <v>#N/A Invalid Security</v>
      </c>
      <c r="H135" t="str" cm="1">
        <f t="array" ref="H135">IF(OR(F135="ETP",F135="Open-End Fund"),_xll.BDP($B135,"FD121"),"")</f>
        <v/>
      </c>
      <c r="I135" t="str" cm="1">
        <f t="array" ref="I135">IF(OR(F135="ETP",F135="Open-End Fund"),_xll.BDP($B135,"Fund_Objective_Long"),"")</f>
        <v/>
      </c>
      <c r="K135" t="s">
        <v>161</v>
      </c>
      <c r="L135" t="s">
        <v>146</v>
      </c>
    </row>
    <row r="136" spans="1:13" x14ac:dyDescent="0.25">
      <c r="A136" t="s">
        <v>134</v>
      </c>
      <c r="B136" t="str" cm="1">
        <f t="array" ref="B136">_xll.BQL($A136&amp;" Equity", "BB_Default_Risk_Obligor_Ticker")</f>
        <v>#N/A</v>
      </c>
      <c r="C136" t="str" cm="1">
        <f t="array" ref="C136">_xll.BDP($A136&amp;" Equity","Name")</f>
        <v>#N/A Invalid Security</v>
      </c>
      <c r="D136" t="str" cm="1">
        <f t="array" ref="D136">_xll.BQL($A136, "Crncy")</f>
        <v>#N/A</v>
      </c>
      <c r="E136" t="str" cm="1">
        <f t="array" ref="E136">_xll.BDP(B136,"ex028")</f>
        <v>#N/A Invalid Security</v>
      </c>
      <c r="F136" t="str" cm="1">
        <f t="array" ref="F136">_xll.BDP($B136,"Security_Typ")</f>
        <v>#N/A Invalid Security</v>
      </c>
      <c r="G136" t="str" cm="1">
        <f t="array" ref="G136">_xll.BDP($B136,"Gics_Sector_Name")</f>
        <v>#N/A Invalid Security</v>
      </c>
      <c r="H136" t="str" cm="1">
        <f t="array" ref="H136">IF(OR(F136="ETP",F136="Open-End Fund"),_xll.BDP($B136,"FD121"),"")</f>
        <v/>
      </c>
      <c r="I136" t="str" cm="1">
        <f t="array" ref="I136">IF(OR(F136="ETP",F136="Open-End Fund"),_xll.BDP($B136,"Fund_Objective_Long"),"")</f>
        <v/>
      </c>
      <c r="K136" t="s">
        <v>162</v>
      </c>
    </row>
    <row r="137" spans="1:13" x14ac:dyDescent="0.25">
      <c r="A137" t="s">
        <v>135</v>
      </c>
      <c r="B137" t="str" cm="1">
        <f t="array" ref="B137">_xll.BQL($A137&amp;" Equity", "BB_Default_Risk_Obligor_Ticker")</f>
        <v>#N/A</v>
      </c>
      <c r="C137" t="str" cm="1">
        <f t="array" ref="C137">_xll.BDP($A137&amp;" Equity","Name")</f>
        <v>#N/A Invalid Security</v>
      </c>
      <c r="D137" t="str" cm="1">
        <f t="array" ref="D137">_xll.BQL($A137, "Crncy")</f>
        <v>#N/A</v>
      </c>
      <c r="E137" t="str" cm="1">
        <f t="array" ref="E137">_xll.BDP(B137,"ex028")</f>
        <v>#N/A Invalid Security</v>
      </c>
      <c r="F137" t="str" cm="1">
        <f t="array" ref="F137">_xll.BDP($B137,"Security_Typ")</f>
        <v>#N/A Invalid Security</v>
      </c>
      <c r="G137" t="str" cm="1">
        <f t="array" ref="G137">_xll.BDP($B137,"Gics_Sector_Name")</f>
        <v>#N/A Invalid Security</v>
      </c>
      <c r="H137" t="str" cm="1">
        <f t="array" ref="H137">IF(OR(F137="ETP",F137="Open-End Fund"),_xll.BDP($B137,"FD121"),"")</f>
        <v/>
      </c>
      <c r="I137" t="str" cm="1">
        <f t="array" ref="I137">IF(OR(F137="ETP",F137="Open-End Fund"),_xll.BDP($B137,"Fund_Objective_Long"),"")</f>
        <v/>
      </c>
      <c r="K137" t="s">
        <v>163</v>
      </c>
    </row>
    <row r="138" spans="1:13" x14ac:dyDescent="0.25">
      <c r="A138" t="s">
        <v>136</v>
      </c>
      <c r="B138" t="str" cm="1">
        <f t="array" ref="B138">_xll.BQL($A138&amp;" Equity", "BB_Default_Risk_Obligor_Ticker")</f>
        <v>#N/A</v>
      </c>
      <c r="C138" t="str" cm="1">
        <f t="array" ref="C138">_xll.BDP($A138&amp;" Equity","Name")</f>
        <v>#N/A Invalid Security</v>
      </c>
      <c r="D138" t="str" cm="1">
        <f t="array" ref="D138">_xll.BQL($A138, "Crncy")</f>
        <v>#N/A</v>
      </c>
      <c r="E138" t="str" cm="1">
        <f t="array" ref="E138">_xll.BDP(B138,"ex028")</f>
        <v>#N/A Invalid Security</v>
      </c>
      <c r="F138" t="str" cm="1">
        <f t="array" ref="F138">_xll.BDP($B138,"Security_Typ")</f>
        <v>#N/A Invalid Security</v>
      </c>
      <c r="G138" t="str" cm="1">
        <f t="array" ref="G138">_xll.BDP($B138,"Gics_Sector_Name")</f>
        <v>#N/A Invalid Security</v>
      </c>
      <c r="H138" t="str" cm="1">
        <f t="array" ref="H138">IF(OR(F138="ETP",F138="Open-End Fund"),_xll.BDP($B138,"FD121"),"")</f>
        <v/>
      </c>
      <c r="I138" t="str" cm="1">
        <f t="array" ref="I138">IF(OR(F138="ETP",F138="Open-End Fund"),_xll.BDP($B138,"Fund_Objective_Long"),"")</f>
        <v/>
      </c>
      <c r="K138" t="s">
        <v>167</v>
      </c>
      <c r="L138" t="s">
        <v>166</v>
      </c>
    </row>
    <row r="139" spans="1:13" x14ac:dyDescent="0.25">
      <c r="A139" t="s">
        <v>137</v>
      </c>
      <c r="B139" t="str" cm="1">
        <f t="array" ref="B139">_xll.BQL($A139&amp;" Equity", "BB_Default_Risk_Obligor_Ticker")</f>
        <v>#N/A</v>
      </c>
      <c r="C139" t="str" cm="1">
        <f t="array" ref="C139">_xll.BDP($A139&amp;" Equity","Name")</f>
        <v>#N/A Invalid Security</v>
      </c>
      <c r="D139" t="str" cm="1">
        <f t="array" ref="D139">_xll.BQL($A139, "Crncy")</f>
        <v>#N/A</v>
      </c>
      <c r="E139" t="str" cm="1">
        <f t="array" ref="E139">_xll.BDP(B139,"ex028")</f>
        <v>#N/A Invalid Security</v>
      </c>
      <c r="F139" t="str" cm="1">
        <f t="array" ref="F139">_xll.BDP($B139,"Security_Typ")</f>
        <v>#N/A Invalid Security</v>
      </c>
      <c r="G139" t="str" cm="1">
        <f t="array" ref="G139">_xll.BDP($B139,"Gics_Sector_Name")</f>
        <v>#N/A Invalid Security</v>
      </c>
      <c r="H139" t="str" cm="1">
        <f t="array" ref="H139">IF(OR(F139="ETP",F139="Open-End Fund"),_xll.BDP($B139,"FD121"),"")</f>
        <v/>
      </c>
      <c r="I139" t="str" cm="1">
        <f t="array" ref="I139">IF(OR(F139="ETP",F139="Open-End Fund"),_xll.BDP($B139,"Fund_Objective_Long"),"")</f>
        <v/>
      </c>
      <c r="K139" t="s">
        <v>165</v>
      </c>
    </row>
    <row r="140" spans="1:13" x14ac:dyDescent="0.25">
      <c r="A140" t="s">
        <v>138</v>
      </c>
      <c r="B140" t="str" cm="1">
        <f t="array" ref="B140">_xll.BQL($A140&amp;" Equity", "BB_Default_Risk_Obligor_Ticker")</f>
        <v>#N/A</v>
      </c>
      <c r="C140" t="str" cm="1">
        <f t="array" ref="C140">_xll.BDP($A140&amp;" Equity","Name")</f>
        <v>#N/A Invalid Security</v>
      </c>
      <c r="D140" t="str" cm="1">
        <f t="array" ref="D140">_xll.BQL($A140, "Crncy")</f>
        <v>#N/A</v>
      </c>
      <c r="E140" t="str" cm="1">
        <f t="array" ref="E140">_xll.BDP(B140,"ex028")</f>
        <v>#N/A Invalid Security</v>
      </c>
      <c r="F140" t="str" cm="1">
        <f t="array" ref="F140">_xll.BDP($B140,"Security_Typ")</f>
        <v>#N/A Invalid Security</v>
      </c>
      <c r="G140" t="str" cm="1">
        <f t="array" ref="G140">_xll.BDP($B140,"Gics_Sector_Name")</f>
        <v>#N/A Invalid Security</v>
      </c>
      <c r="H140" t="str" cm="1">
        <f t="array" ref="H140">IF(OR(F140="ETP",F140="Open-End Fund"),_xll.BDP($B140,"FD121"),"")</f>
        <v/>
      </c>
      <c r="I140" t="str" cm="1">
        <f t="array" ref="I140">IF(OR(F140="ETP",F140="Open-End Fund"),_xll.BDP($B140,"Fund_Objective_Long"),"")</f>
        <v/>
      </c>
      <c r="K140" t="s">
        <v>164</v>
      </c>
      <c r="L140" t="s">
        <v>166</v>
      </c>
    </row>
    <row r="141" spans="1:13" x14ac:dyDescent="0.25">
      <c r="A141" t="s">
        <v>139</v>
      </c>
      <c r="B141" t="str" cm="1">
        <f t="array" ref="B141">_xll.BQL($A141&amp;" Equity", "BB_Default_Risk_Obligor_Ticker")</f>
        <v>#N/A</v>
      </c>
      <c r="C141" t="str" cm="1">
        <f t="array" ref="C141">_xll.BDP($A141&amp;" Corp","Security_Name")</f>
        <v>ABGSM 1 1/2 10/26/24</v>
      </c>
      <c r="D141" t="str" cm="1">
        <f t="array" ref="D141">_xll.BQL($A141, "Crncy")</f>
        <v>EUR</v>
      </c>
      <c r="E141" t="str" cm="1">
        <f t="array" ref="E141">_xll.BDP(B141,"ex028")</f>
        <v>#N/A Invalid Security</v>
      </c>
      <c r="F141" t="str" cm="1">
        <f t="array" ref="F141">_xll.BDP($B141,"Security_Typ")</f>
        <v>#N/A Invalid Security</v>
      </c>
      <c r="G141" t="str" cm="1">
        <f t="array" ref="G141">_xll.BDP($B141,"Gics_Sector_Name")</f>
        <v>#N/A Invalid Security</v>
      </c>
      <c r="H141" t="str" cm="1">
        <f t="array" ref="H141">IF(OR(F141="ETP",F141="Open-End Fund"),_xll.BDP($B141,"FD121"),"")</f>
        <v/>
      </c>
      <c r="I141" t="str" cm="1">
        <f t="array" ref="I141">IF(OR(F141="ETP",F141="Open-End Fund"),_xll.BDP($B141,"Fund_Objective_Long"),"")</f>
        <v/>
      </c>
      <c r="K141" t="s">
        <v>168</v>
      </c>
      <c r="L141" t="s">
        <v>152</v>
      </c>
    </row>
    <row r="142" spans="1:13" x14ac:dyDescent="0.25">
      <c r="A142" t="s">
        <v>140</v>
      </c>
      <c r="B142" t="str" cm="1">
        <f t="array" ref="B142">_xll.BQL($A142&amp;" Equity", "BB_Default_Risk_Obligor_Ticker")</f>
        <v>#N/A</v>
      </c>
      <c r="C142" t="str" cm="1">
        <f t="array" ref="C142">_xll.BDP($A142&amp;" Corp","Security_Name")</f>
        <v>ABGSM 1 1/2 10/26/24</v>
      </c>
      <c r="D142" t="str" cm="1">
        <f t="array" ref="D142">_xll.BQL($A142, "Crncy")</f>
        <v>EUR</v>
      </c>
      <c r="E142" t="str" cm="1">
        <f t="array" ref="E142">_xll.BDP(B142,"ex028")</f>
        <v>#N/A Invalid Security</v>
      </c>
      <c r="F142" t="str" cm="1">
        <f t="array" ref="F142">_xll.BDP($B142,"Security_Typ")</f>
        <v>#N/A Invalid Security</v>
      </c>
      <c r="G142" t="str" cm="1">
        <f t="array" ref="G142">_xll.BDP($B142,"Gics_Sector_Name")</f>
        <v>#N/A Invalid Security</v>
      </c>
      <c r="H142" t="str" cm="1">
        <f t="array" ref="H142">IF(OR(F142="ETP",F142="Open-End Fund"),_xll.BDP($B142,"FD121"),"")</f>
        <v/>
      </c>
      <c r="I142" t="str" cm="1">
        <f t="array" ref="I142">IF(OR(F142="ETP",F142="Open-End Fund"),_xll.BDP($B142,"Fund_Objective_Long"),"")</f>
        <v/>
      </c>
      <c r="K142" t="s">
        <v>169</v>
      </c>
      <c r="L142" t="s">
        <v>152</v>
      </c>
    </row>
    <row r="143" spans="1:13" x14ac:dyDescent="0.25">
      <c r="A143" t="s">
        <v>141</v>
      </c>
      <c r="B143" t="str">
        <f>A143&amp;" Corp"</f>
        <v>XS2677029691 Corp</v>
      </c>
      <c r="C143" t="str" cm="1">
        <f t="array" ref="C143">_xll.BDP($B143,"Security_Name")</f>
        <v>EDSTSA 10 12/22/25</v>
      </c>
      <c r="D143" t="str" cm="1">
        <f t="array" ref="D143">_xll.BQL($A143, "Crncy")</f>
        <v>EUR</v>
      </c>
      <c r="E143" t="str" cm="1">
        <f t="array" ref="E143">_xll.BDP(B143,"ex028")</f>
        <v>FixedIncome</v>
      </c>
      <c r="F143" t="str" cm="1">
        <f t="array" ref="F143">_xll.BDP($B143,"Security_Typ")</f>
        <v>EURO-ZONE</v>
      </c>
      <c r="G143" t="str" cm="1">
        <f t="array" ref="G143">_xll.BDP($B143,"Gics_Sector_Name")</f>
        <v>#N/A Field Not Applicable</v>
      </c>
      <c r="H143" t="str" cm="1">
        <f t="array" ref="H143">IF(OR(F143="ETP",F143="Open-End Fund"),_xll.BDP($B143,"FD121"),"")</f>
        <v/>
      </c>
      <c r="I143" t="str" cm="1">
        <f t="array" ref="I143">IF(OR(F143="ETP",F143="Open-End Fund"),_xll.BDP($B143,"Fund_Objective_Long"),"")</f>
        <v/>
      </c>
      <c r="K143" t="s">
        <v>170</v>
      </c>
      <c r="L143" t="s">
        <v>152</v>
      </c>
    </row>
    <row r="144" spans="1:13" x14ac:dyDescent="0.25">
      <c r="A144" t="s">
        <v>142</v>
      </c>
      <c r="B144" t="str">
        <f>A144&amp;" Corp"</f>
        <v>XS2873545417 Corp</v>
      </c>
      <c r="C144" t="str" cm="1">
        <f t="array" ref="C144">_xll.BDP($B144,"Security_Name")</f>
        <v>EDSTSA 10 02/27/26</v>
      </c>
      <c r="D144" t="str" cm="1">
        <f t="array" ref="D144">_xll.BQL($A144, "Crncy")</f>
        <v>EUR</v>
      </c>
      <c r="E144" t="str" cm="1">
        <f t="array" ref="E144">_xll.BDP(B144,"ex028")</f>
        <v>FixedIncome</v>
      </c>
      <c r="F144" t="str" cm="1">
        <f t="array" ref="F144">_xll.BDP($B144,"Security_Typ")</f>
        <v>EURO-ZONE</v>
      </c>
      <c r="G144" t="str" cm="1">
        <f t="array" ref="G144">_xll.BDP($B144,"Gics_Sector_Name")</f>
        <v>#N/A Field Not Applicable</v>
      </c>
      <c r="H144" t="str" cm="1">
        <f t="array" ref="H144">IF(OR(F144="ETP",F144="Open-End Fund"),_xll.BDP($B144,"FD121"),"")</f>
        <v/>
      </c>
      <c r="I144" t="str" cm="1">
        <f t="array" ref="I144">IF(OR(F144="ETP",F144="Open-End Fund"),_xll.BDP($B144,"Fund_Objective_Long"),"")</f>
        <v/>
      </c>
      <c r="K144" t="s">
        <v>171</v>
      </c>
      <c r="L144" t="s">
        <v>152</v>
      </c>
    </row>
    <row r="145" spans="1:12" x14ac:dyDescent="0.25">
      <c r="A145" t="s">
        <v>521</v>
      </c>
      <c r="B145" t="str">
        <f>A145&amp;" Equity"</f>
        <v>LU2941599081 Equity</v>
      </c>
      <c r="C145" t="str" cm="1">
        <f t="array" ref="C145">_xll.BDP($B145,"Security_Name")</f>
        <v>Janus Henderson Tabula EUR AAA</v>
      </c>
      <c r="D145" t="str" cm="1">
        <f t="array" ref="D145">_xll.BQL($A145, "Crncy")</f>
        <v>EUR</v>
      </c>
      <c r="E145" t="str" cm="1">
        <f t="array" ref="E145">_xll.BDP(B145,"ex028")</f>
        <v>Fund</v>
      </c>
      <c r="F145" t="str" cm="1">
        <f t="array" ref="F145">_xll.BDP($B145,"Security_Typ")</f>
        <v>ETP</v>
      </c>
      <c r="G145" t="str" cm="1">
        <f t="array" ref="G145">_xll.BDP($B145,"Gics_Sector_Name")</f>
        <v>#N/A N/A</v>
      </c>
      <c r="H145" t="str" cm="1">
        <f t="array" ref="H145">IF(OR(F145="ETP",F145="Open-End Fund"),_xll.BDP($B145,"FD121"),"")</f>
        <v>Fixed Income</v>
      </c>
      <c r="I145" t="str" cm="1">
        <f t="array" ref="I145">IF(OR(F145="ETP",F145="Open-End Fund"),_xll.BDP($B145,"Fund_Objective_Long"),"")</f>
        <v>Asset-Backed Securities</v>
      </c>
      <c r="L145" t="s">
        <v>152</v>
      </c>
    </row>
    <row r="146" spans="1:12" x14ac:dyDescent="0.25">
      <c r="A146" t="s">
        <v>522</v>
      </c>
      <c r="B146" t="str">
        <f>A146&amp;" Equity"</f>
        <v>IE000Y2JPPS4 Equity</v>
      </c>
      <c r="C146" t="str" cm="1">
        <f t="array" ref="C146">_xll.BDP($B146,"Security_Name")</f>
        <v>Invesco EUR AAA CLO UCITS ETF</v>
      </c>
      <c r="D146" t="str" cm="1">
        <f t="array" ref="D146">_xll.BQL($A146, "Crncy")</f>
        <v>EUR</v>
      </c>
      <c r="E146" t="str" cm="1">
        <f t="array" ref="E146">_xll.BDP(B146,"ex028")</f>
        <v>Fund</v>
      </c>
      <c r="F146" t="str" cm="1">
        <f t="array" ref="F146">_xll.BDP($B146,"Security_Typ")</f>
        <v>ETP</v>
      </c>
      <c r="G146" t="str" cm="1">
        <f t="array" ref="G146">_xll.BDP($B146,"Gics_Sector_Name")</f>
        <v>#N/A N/A</v>
      </c>
      <c r="H146" t="str" cm="1">
        <f t="array" ref="H146">IF(OR(F146="ETP",F146="Open-End Fund"),_xll.BDP($B146,"FD121"),"")</f>
        <v>Fixed Income</v>
      </c>
      <c r="I146" t="str" cm="1">
        <f t="array" ref="I146">IF(OR(F146="ETP",F146="Open-End Fund"),_xll.BDP($B146,"Fund_Objective_Long"),"")</f>
        <v>Asset-Backed Securities</v>
      </c>
      <c r="L146" t="s">
        <v>152</v>
      </c>
    </row>
  </sheetData>
  <autoFilter ref="A1:L144" xr:uid="{2B5C313C-CBD4-46BE-B535-2FD8950987A2}"/>
  <conditionalFormatting sqref="C1:C1048576">
    <cfRule type="duplicateValues" dxfId="2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80C7-9331-4DCC-B019-EA01CFA2BB49}">
  <dimension ref="A1:H237"/>
  <sheetViews>
    <sheetView tabSelected="1" workbookViewId="0">
      <selection activeCell="G30" sqref="G30"/>
    </sheetView>
  </sheetViews>
  <sheetFormatPr defaultRowHeight="15" x14ac:dyDescent="0.25"/>
  <cols>
    <col min="1" max="1" width="31.28515625" bestFit="1" customWidth="1"/>
    <col min="2" max="2" width="21" bestFit="1" customWidth="1"/>
    <col min="3" max="3" width="66" bestFit="1" customWidth="1"/>
    <col min="4" max="4" width="6.7109375" bestFit="1" customWidth="1"/>
    <col min="5" max="5" width="13.28515625" bestFit="1" customWidth="1"/>
    <col min="6" max="6" width="13.7109375" bestFit="1" customWidth="1"/>
    <col min="7" max="8" width="26.42578125" bestFit="1" customWidth="1"/>
  </cols>
  <sheetData>
    <row r="1" spans="1:7" x14ac:dyDescent="0.25">
      <c r="A1" s="2" t="s">
        <v>144</v>
      </c>
      <c r="B1" s="2" t="s">
        <v>143</v>
      </c>
      <c r="C1" s="2" t="s">
        <v>450</v>
      </c>
      <c r="D1" s="2" t="s">
        <v>451</v>
      </c>
      <c r="E1" s="2" t="s">
        <v>456</v>
      </c>
      <c r="F1" s="2" t="s">
        <v>457</v>
      </c>
      <c r="G1" s="2" t="s">
        <v>452</v>
      </c>
    </row>
    <row r="2" spans="1:7" x14ac:dyDescent="0.25">
      <c r="A2" t="s">
        <v>7</v>
      </c>
      <c r="B2" t="s">
        <v>192</v>
      </c>
      <c r="C2" t="s">
        <v>378</v>
      </c>
      <c r="D2" t="s">
        <v>148</v>
      </c>
      <c r="E2" t="s">
        <v>181</v>
      </c>
      <c r="F2" t="s">
        <v>182</v>
      </c>
      <c r="G2" t="s">
        <v>183</v>
      </c>
    </row>
    <row r="3" spans="1:7" x14ac:dyDescent="0.25">
      <c r="A3" t="s">
        <v>139</v>
      </c>
      <c r="B3" t="s">
        <v>625</v>
      </c>
      <c r="C3" t="s">
        <v>168</v>
      </c>
      <c r="D3" t="s">
        <v>152</v>
      </c>
      <c r="E3" t="s">
        <v>305</v>
      </c>
      <c r="F3" t="s">
        <v>565</v>
      </c>
      <c r="G3" t="s">
        <v>666</v>
      </c>
    </row>
    <row r="4" spans="1:7" x14ac:dyDescent="0.25">
      <c r="A4" t="s">
        <v>140</v>
      </c>
      <c r="B4" t="s">
        <v>626</v>
      </c>
      <c r="C4" t="s">
        <v>455</v>
      </c>
      <c r="D4" t="s">
        <v>152</v>
      </c>
      <c r="E4" t="s">
        <v>305</v>
      </c>
      <c r="F4" t="s">
        <v>565</v>
      </c>
      <c r="G4" t="s">
        <v>666</v>
      </c>
    </row>
    <row r="5" spans="1:7" x14ac:dyDescent="0.25">
      <c r="A5" t="s">
        <v>21</v>
      </c>
      <c r="B5" t="s">
        <v>511</v>
      </c>
      <c r="C5" t="s">
        <v>391</v>
      </c>
      <c r="D5" t="s">
        <v>152</v>
      </c>
      <c r="E5" t="s">
        <v>181</v>
      </c>
      <c r="F5" t="s">
        <v>182</v>
      </c>
      <c r="G5" t="s">
        <v>183</v>
      </c>
    </row>
    <row r="6" spans="1:7" x14ac:dyDescent="0.25">
      <c r="A6" t="s">
        <v>22</v>
      </c>
      <c r="B6" t="s">
        <v>210</v>
      </c>
      <c r="C6" t="s">
        <v>392</v>
      </c>
      <c r="D6" t="s">
        <v>152</v>
      </c>
      <c r="E6" t="s">
        <v>181</v>
      </c>
      <c r="F6" t="s">
        <v>182</v>
      </c>
      <c r="G6" t="s">
        <v>183</v>
      </c>
    </row>
    <row r="7" spans="1:7" x14ac:dyDescent="0.25">
      <c r="A7" t="s">
        <v>611</v>
      </c>
      <c r="B7" t="s">
        <v>493</v>
      </c>
      <c r="C7" t="s">
        <v>493</v>
      </c>
      <c r="D7" t="s">
        <v>148</v>
      </c>
      <c r="E7" t="s">
        <v>460</v>
      </c>
      <c r="F7" t="s">
        <v>460</v>
      </c>
      <c r="G7" t="s">
        <v>646</v>
      </c>
    </row>
    <row r="8" spans="1:7" x14ac:dyDescent="0.25">
      <c r="A8" t="s">
        <v>605</v>
      </c>
      <c r="B8" t="s">
        <v>494</v>
      </c>
      <c r="C8" t="s">
        <v>494</v>
      </c>
      <c r="D8" t="s">
        <v>152</v>
      </c>
      <c r="E8" t="s">
        <v>460</v>
      </c>
      <c r="F8" t="s">
        <v>460</v>
      </c>
      <c r="G8" t="s">
        <v>646</v>
      </c>
    </row>
    <row r="9" spans="1:7" x14ac:dyDescent="0.25">
      <c r="A9" t="s">
        <v>491</v>
      </c>
      <c r="B9" t="s">
        <v>491</v>
      </c>
      <c r="C9" t="s">
        <v>491</v>
      </c>
      <c r="D9" t="s">
        <v>459</v>
      </c>
      <c r="E9" t="s">
        <v>460</v>
      </c>
      <c r="F9" t="s">
        <v>460</v>
      </c>
      <c r="G9" t="s">
        <v>646</v>
      </c>
    </row>
    <row r="10" spans="1:7" x14ac:dyDescent="0.25">
      <c r="A10" t="s">
        <v>492</v>
      </c>
      <c r="B10" t="s">
        <v>492</v>
      </c>
      <c r="C10" t="s">
        <v>492</v>
      </c>
      <c r="D10" t="s">
        <v>462</v>
      </c>
      <c r="E10" t="s">
        <v>460</v>
      </c>
      <c r="F10" t="s">
        <v>460</v>
      </c>
      <c r="G10" t="s">
        <v>646</v>
      </c>
    </row>
    <row r="11" spans="1:7" x14ac:dyDescent="0.25">
      <c r="A11" t="s">
        <v>493</v>
      </c>
      <c r="B11" t="s">
        <v>493</v>
      </c>
      <c r="C11" t="s">
        <v>493</v>
      </c>
      <c r="D11" t="s">
        <v>148</v>
      </c>
      <c r="E11" t="s">
        <v>460</v>
      </c>
      <c r="F11" t="s">
        <v>460</v>
      </c>
      <c r="G11" t="s">
        <v>646</v>
      </c>
    </row>
    <row r="12" spans="1:7" x14ac:dyDescent="0.25">
      <c r="A12" t="s">
        <v>502</v>
      </c>
      <c r="B12" t="s">
        <v>502</v>
      </c>
      <c r="C12" t="s">
        <v>502</v>
      </c>
      <c r="D12" t="s">
        <v>209</v>
      </c>
      <c r="E12" t="s">
        <v>460</v>
      </c>
      <c r="F12" t="s">
        <v>460</v>
      </c>
      <c r="G12" t="s">
        <v>646</v>
      </c>
    </row>
    <row r="13" spans="1:7" x14ac:dyDescent="0.25">
      <c r="A13" t="s">
        <v>494</v>
      </c>
      <c r="B13" t="s">
        <v>494</v>
      </c>
      <c r="C13" t="s">
        <v>494</v>
      </c>
      <c r="D13" t="s">
        <v>152</v>
      </c>
      <c r="E13" t="s">
        <v>460</v>
      </c>
      <c r="F13" t="s">
        <v>460</v>
      </c>
      <c r="G13" t="s">
        <v>646</v>
      </c>
    </row>
    <row r="14" spans="1:7" x14ac:dyDescent="0.25">
      <c r="A14" t="s">
        <v>495</v>
      </c>
      <c r="B14" t="s">
        <v>495</v>
      </c>
      <c r="C14" t="s">
        <v>495</v>
      </c>
      <c r="D14" t="s">
        <v>166</v>
      </c>
      <c r="E14" t="s">
        <v>460</v>
      </c>
      <c r="F14" t="s">
        <v>460</v>
      </c>
      <c r="G14" t="s">
        <v>646</v>
      </c>
    </row>
    <row r="15" spans="1:7" x14ac:dyDescent="0.25">
      <c r="A15" t="s">
        <v>496</v>
      </c>
      <c r="B15" t="s">
        <v>496</v>
      </c>
      <c r="C15" t="s">
        <v>496</v>
      </c>
      <c r="D15" t="s">
        <v>467</v>
      </c>
      <c r="E15" t="s">
        <v>460</v>
      </c>
      <c r="F15" t="s">
        <v>460</v>
      </c>
      <c r="G15" t="s">
        <v>646</v>
      </c>
    </row>
    <row r="16" spans="1:7" x14ac:dyDescent="0.25">
      <c r="A16" t="s">
        <v>497</v>
      </c>
      <c r="B16" t="s">
        <v>497</v>
      </c>
      <c r="C16" t="s">
        <v>497</v>
      </c>
      <c r="D16" t="s">
        <v>469</v>
      </c>
      <c r="E16" t="s">
        <v>460</v>
      </c>
      <c r="F16" t="s">
        <v>460</v>
      </c>
      <c r="G16" t="s">
        <v>646</v>
      </c>
    </row>
    <row r="17" spans="1:8" x14ac:dyDescent="0.25">
      <c r="A17" t="s">
        <v>498</v>
      </c>
      <c r="B17" t="s">
        <v>498</v>
      </c>
      <c r="C17" t="s">
        <v>498</v>
      </c>
      <c r="D17" t="s">
        <v>471</v>
      </c>
      <c r="E17" t="s">
        <v>460</v>
      </c>
      <c r="F17" t="s">
        <v>460</v>
      </c>
      <c r="G17" t="s">
        <v>646</v>
      </c>
    </row>
    <row r="18" spans="1:8" x14ac:dyDescent="0.25">
      <c r="A18" t="s">
        <v>499</v>
      </c>
      <c r="B18" t="s">
        <v>499</v>
      </c>
      <c r="C18" t="s">
        <v>499</v>
      </c>
      <c r="D18" t="s">
        <v>146</v>
      </c>
      <c r="E18" t="s">
        <v>460</v>
      </c>
      <c r="F18" t="s">
        <v>460</v>
      </c>
      <c r="G18" t="s">
        <v>646</v>
      </c>
    </row>
    <row r="19" spans="1:8" x14ac:dyDescent="0.25">
      <c r="A19" t="s">
        <v>500</v>
      </c>
      <c r="B19" t="s">
        <v>500</v>
      </c>
      <c r="C19" t="s">
        <v>500</v>
      </c>
      <c r="D19" t="s">
        <v>474</v>
      </c>
      <c r="E19" t="s">
        <v>460</v>
      </c>
      <c r="F19" t="s">
        <v>460</v>
      </c>
      <c r="G19" t="s">
        <v>646</v>
      </c>
    </row>
    <row r="20" spans="1:8" x14ac:dyDescent="0.25">
      <c r="A20" t="s">
        <v>609</v>
      </c>
      <c r="B20" t="s">
        <v>499</v>
      </c>
      <c r="C20" t="s">
        <v>499</v>
      </c>
      <c r="D20" t="s">
        <v>146</v>
      </c>
      <c r="E20" t="s">
        <v>460</v>
      </c>
      <c r="F20" t="s">
        <v>460</v>
      </c>
      <c r="G20" t="s">
        <v>646</v>
      </c>
      <c r="H20" t="str" cm="1">
        <f t="array" ref="H20">IF(OR(F31="ETP",F31="Open-End Fund"),_xll.BDP($B31,"Fund_Objective_Long"),"")</f>
        <v/>
      </c>
    </row>
    <row r="21" spans="1:8" x14ac:dyDescent="0.25">
      <c r="A21" t="s">
        <v>94</v>
      </c>
      <c r="B21" t="s">
        <v>233</v>
      </c>
      <c r="C21" t="s">
        <v>413</v>
      </c>
      <c r="D21" t="s">
        <v>146</v>
      </c>
      <c r="E21" t="s">
        <v>181</v>
      </c>
      <c r="F21" t="s">
        <v>182</v>
      </c>
      <c r="G21" t="s">
        <v>195</v>
      </c>
    </row>
    <row r="22" spans="1:8" x14ac:dyDescent="0.25">
      <c r="A22" t="s">
        <v>14</v>
      </c>
      <c r="B22" t="s">
        <v>202</v>
      </c>
      <c r="C22" t="s">
        <v>385</v>
      </c>
      <c r="D22" t="s">
        <v>148</v>
      </c>
      <c r="E22" t="s">
        <v>181</v>
      </c>
      <c r="F22" t="s">
        <v>182</v>
      </c>
      <c r="G22" t="s">
        <v>187</v>
      </c>
    </row>
    <row r="23" spans="1:8" x14ac:dyDescent="0.25">
      <c r="A23" t="s">
        <v>95</v>
      </c>
      <c r="B23" t="s">
        <v>234</v>
      </c>
      <c r="C23" t="s">
        <v>414</v>
      </c>
      <c r="D23" t="s">
        <v>146</v>
      </c>
      <c r="E23" t="s">
        <v>181</v>
      </c>
      <c r="F23" t="s">
        <v>182</v>
      </c>
      <c r="G23" t="s">
        <v>187</v>
      </c>
    </row>
    <row r="24" spans="1:8" x14ac:dyDescent="0.25">
      <c r="A24" t="s">
        <v>13</v>
      </c>
      <c r="B24" t="s">
        <v>201</v>
      </c>
      <c r="C24" t="s">
        <v>384</v>
      </c>
      <c r="D24" t="s">
        <v>148</v>
      </c>
      <c r="E24" t="s">
        <v>181</v>
      </c>
      <c r="F24" t="s">
        <v>182</v>
      </c>
      <c r="G24" t="s">
        <v>187</v>
      </c>
    </row>
    <row r="25" spans="1:8" x14ac:dyDescent="0.25">
      <c r="A25" t="s">
        <v>135</v>
      </c>
      <c r="B25" t="s">
        <v>622</v>
      </c>
      <c r="C25" t="s">
        <v>163</v>
      </c>
      <c r="D25" t="s">
        <v>152</v>
      </c>
      <c r="E25" t="s">
        <v>357</v>
      </c>
      <c r="F25" t="s">
        <v>273</v>
      </c>
      <c r="G25" t="s">
        <v>696</v>
      </c>
    </row>
    <row r="26" spans="1:8" x14ac:dyDescent="0.25">
      <c r="A26" t="s">
        <v>31</v>
      </c>
      <c r="B26" t="s">
        <v>272</v>
      </c>
      <c r="C26" t="s">
        <v>274</v>
      </c>
      <c r="D26" t="s">
        <v>152</v>
      </c>
      <c r="E26" t="s">
        <v>181</v>
      </c>
      <c r="F26" t="s">
        <v>273</v>
      </c>
      <c r="G26" t="s">
        <v>651</v>
      </c>
    </row>
    <row r="27" spans="1:8" x14ac:dyDescent="0.25">
      <c r="A27" t="s">
        <v>96</v>
      </c>
      <c r="B27" t="s">
        <v>235</v>
      </c>
      <c r="C27" t="s">
        <v>415</v>
      </c>
      <c r="D27" t="s">
        <v>146</v>
      </c>
      <c r="E27" t="s">
        <v>181</v>
      </c>
      <c r="F27" t="s">
        <v>182</v>
      </c>
      <c r="G27" t="s">
        <v>195</v>
      </c>
    </row>
    <row r="28" spans="1:8" x14ac:dyDescent="0.25">
      <c r="A28" t="s">
        <v>503</v>
      </c>
      <c r="B28" t="s">
        <v>504</v>
      </c>
      <c r="C28" t="s">
        <v>505</v>
      </c>
      <c r="D28" t="s">
        <v>148</v>
      </c>
      <c r="E28" t="s">
        <v>181</v>
      </c>
      <c r="F28" t="s">
        <v>182</v>
      </c>
      <c r="G28" t="s">
        <v>190</v>
      </c>
    </row>
    <row r="29" spans="1:8" x14ac:dyDescent="0.25">
      <c r="A29" t="s">
        <v>0</v>
      </c>
      <c r="B29" t="s">
        <v>180</v>
      </c>
      <c r="C29" t="s">
        <v>372</v>
      </c>
      <c r="D29" t="s">
        <v>152</v>
      </c>
      <c r="E29" t="s">
        <v>181</v>
      </c>
      <c r="F29" t="s">
        <v>182</v>
      </c>
      <c r="G29" t="s">
        <v>183</v>
      </c>
    </row>
    <row r="30" spans="1:8" x14ac:dyDescent="0.25">
      <c r="A30" t="s">
        <v>76</v>
      </c>
      <c r="B30" t="s">
        <v>364</v>
      </c>
      <c r="C30" t="s">
        <v>365</v>
      </c>
      <c r="D30" t="s">
        <v>152</v>
      </c>
      <c r="E30" t="s">
        <v>357</v>
      </c>
      <c r="F30" t="s">
        <v>273</v>
      </c>
      <c r="G30" t="s">
        <v>684</v>
      </c>
    </row>
    <row r="31" spans="1:8" x14ac:dyDescent="0.25">
      <c r="A31" t="s">
        <v>127</v>
      </c>
      <c r="B31" t="s">
        <v>267</v>
      </c>
      <c r="C31" t="s">
        <v>447</v>
      </c>
      <c r="D31" t="s">
        <v>146</v>
      </c>
      <c r="E31" t="s">
        <v>305</v>
      </c>
      <c r="F31" t="s">
        <v>668</v>
      </c>
      <c r="G31" t="s">
        <v>666</v>
      </c>
    </row>
    <row r="32" spans="1:8" x14ac:dyDescent="0.25">
      <c r="A32" t="s">
        <v>97</v>
      </c>
      <c r="B32" t="s">
        <v>236</v>
      </c>
      <c r="C32" t="s">
        <v>416</v>
      </c>
      <c r="D32" t="s">
        <v>146</v>
      </c>
      <c r="E32" t="s">
        <v>181</v>
      </c>
      <c r="F32" t="s">
        <v>182</v>
      </c>
      <c r="G32" t="s">
        <v>195</v>
      </c>
    </row>
    <row r="33" spans="1:7" x14ac:dyDescent="0.25">
      <c r="A33" t="s">
        <v>77</v>
      </c>
      <c r="B33" t="s">
        <v>366</v>
      </c>
      <c r="C33" t="s">
        <v>367</v>
      </c>
      <c r="D33" t="s">
        <v>146</v>
      </c>
      <c r="E33" t="s">
        <v>357</v>
      </c>
      <c r="F33" t="s">
        <v>273</v>
      </c>
      <c r="G33" t="s">
        <v>701</v>
      </c>
    </row>
    <row r="34" spans="1:7" x14ac:dyDescent="0.25">
      <c r="A34" t="s">
        <v>63</v>
      </c>
      <c r="B34" t="s">
        <v>329</v>
      </c>
      <c r="C34" t="s">
        <v>330</v>
      </c>
      <c r="D34" t="s">
        <v>152</v>
      </c>
      <c r="E34" t="s">
        <v>305</v>
      </c>
      <c r="F34" t="s">
        <v>273</v>
      </c>
      <c r="G34" t="s">
        <v>674</v>
      </c>
    </row>
    <row r="35" spans="1:7" x14ac:dyDescent="0.25">
      <c r="A35" t="s">
        <v>65</v>
      </c>
      <c r="B35" t="s">
        <v>516</v>
      </c>
      <c r="C35" t="s">
        <v>331</v>
      </c>
      <c r="D35" t="s">
        <v>148</v>
      </c>
      <c r="E35" t="s">
        <v>305</v>
      </c>
      <c r="F35" t="s">
        <v>273</v>
      </c>
      <c r="G35" t="s">
        <v>674</v>
      </c>
    </row>
    <row r="36" spans="1:7" x14ac:dyDescent="0.25">
      <c r="A36" t="s">
        <v>80</v>
      </c>
      <c r="B36" t="s">
        <v>227</v>
      </c>
      <c r="C36" t="s">
        <v>407</v>
      </c>
      <c r="D36" t="s">
        <v>152</v>
      </c>
      <c r="E36" t="s">
        <v>181</v>
      </c>
      <c r="F36" t="s">
        <v>182</v>
      </c>
      <c r="G36" t="s">
        <v>195</v>
      </c>
    </row>
    <row r="37" spans="1:7" x14ac:dyDescent="0.25">
      <c r="A37" t="s">
        <v>83</v>
      </c>
      <c r="B37" t="s">
        <v>230</v>
      </c>
      <c r="C37" t="s">
        <v>410</v>
      </c>
      <c r="D37" t="s">
        <v>152</v>
      </c>
      <c r="E37" t="s">
        <v>181</v>
      </c>
      <c r="F37" t="s">
        <v>182</v>
      </c>
      <c r="G37" t="s">
        <v>195</v>
      </c>
    </row>
    <row r="38" spans="1:7" x14ac:dyDescent="0.25">
      <c r="A38" t="s">
        <v>547</v>
      </c>
      <c r="B38" t="s">
        <v>582</v>
      </c>
      <c r="C38" t="s">
        <v>583</v>
      </c>
      <c r="D38" t="s">
        <v>152</v>
      </c>
      <c r="E38" t="s">
        <v>181</v>
      </c>
      <c r="F38" t="s">
        <v>182</v>
      </c>
      <c r="G38" t="s">
        <v>197</v>
      </c>
    </row>
    <row r="39" spans="1:7" x14ac:dyDescent="0.25">
      <c r="A39" t="s">
        <v>528</v>
      </c>
      <c r="B39" t="s">
        <v>555</v>
      </c>
      <c r="C39" t="s">
        <v>556</v>
      </c>
      <c r="D39" t="s">
        <v>152</v>
      </c>
      <c r="E39" t="s">
        <v>346</v>
      </c>
      <c r="F39" t="s">
        <v>273</v>
      </c>
    </row>
    <row r="40" spans="1:7" x14ac:dyDescent="0.25">
      <c r="A40" t="s">
        <v>29</v>
      </c>
      <c r="B40" t="s">
        <v>218</v>
      </c>
      <c r="C40" t="s">
        <v>399</v>
      </c>
      <c r="D40" t="s">
        <v>152</v>
      </c>
      <c r="E40" t="s">
        <v>181</v>
      </c>
      <c r="F40" t="s">
        <v>182</v>
      </c>
      <c r="G40" t="s">
        <v>199</v>
      </c>
    </row>
    <row r="41" spans="1:7" x14ac:dyDescent="0.25">
      <c r="A41" t="s">
        <v>93</v>
      </c>
      <c r="B41" t="s">
        <v>232</v>
      </c>
      <c r="C41" t="s">
        <v>412</v>
      </c>
      <c r="D41" t="s">
        <v>153</v>
      </c>
      <c r="E41" t="s">
        <v>181</v>
      </c>
      <c r="F41" t="s">
        <v>182</v>
      </c>
      <c r="G41" t="s">
        <v>190</v>
      </c>
    </row>
    <row r="42" spans="1:7" x14ac:dyDescent="0.25">
      <c r="A42" t="s">
        <v>98</v>
      </c>
      <c r="B42" t="s">
        <v>237</v>
      </c>
      <c r="C42" t="s">
        <v>417</v>
      </c>
      <c r="D42" t="s">
        <v>146</v>
      </c>
      <c r="E42" t="s">
        <v>181</v>
      </c>
      <c r="F42" t="s">
        <v>182</v>
      </c>
      <c r="G42" t="s">
        <v>187</v>
      </c>
    </row>
    <row r="43" spans="1:7" x14ac:dyDescent="0.25">
      <c r="A43" t="s">
        <v>99</v>
      </c>
      <c r="B43" t="s">
        <v>238</v>
      </c>
      <c r="C43" t="s">
        <v>418</v>
      </c>
      <c r="D43" t="s">
        <v>146</v>
      </c>
      <c r="E43" t="s">
        <v>181</v>
      </c>
      <c r="F43" t="s">
        <v>182</v>
      </c>
      <c r="G43" t="s">
        <v>195</v>
      </c>
    </row>
    <row r="44" spans="1:7" x14ac:dyDescent="0.25">
      <c r="A44" t="s">
        <v>33</v>
      </c>
      <c r="B44" t="s">
        <v>220</v>
      </c>
      <c r="C44" t="s">
        <v>401</v>
      </c>
      <c r="D44" t="s">
        <v>166</v>
      </c>
      <c r="E44" t="s">
        <v>181</v>
      </c>
      <c r="F44" t="s">
        <v>182</v>
      </c>
      <c r="G44" t="s">
        <v>221</v>
      </c>
    </row>
    <row r="45" spans="1:7" x14ac:dyDescent="0.25">
      <c r="A45" t="s">
        <v>58</v>
      </c>
      <c r="B45" t="s">
        <v>362</v>
      </c>
      <c r="C45" t="s">
        <v>363</v>
      </c>
      <c r="D45" t="s">
        <v>152</v>
      </c>
      <c r="E45" t="s">
        <v>357</v>
      </c>
      <c r="F45" t="s">
        <v>273</v>
      </c>
      <c r="G45" t="s">
        <v>684</v>
      </c>
    </row>
    <row r="46" spans="1:7" x14ac:dyDescent="0.25">
      <c r="A46" t="s">
        <v>26</v>
      </c>
      <c r="B46" t="s">
        <v>215</v>
      </c>
      <c r="C46" t="s">
        <v>396</v>
      </c>
      <c r="D46" t="s">
        <v>152</v>
      </c>
      <c r="E46" t="s">
        <v>181</v>
      </c>
      <c r="F46" t="s">
        <v>182</v>
      </c>
      <c r="G46" t="s">
        <v>195</v>
      </c>
    </row>
    <row r="47" spans="1:7" x14ac:dyDescent="0.25">
      <c r="A47" t="s">
        <v>550</v>
      </c>
      <c r="B47" t="s">
        <v>585</v>
      </c>
      <c r="C47" t="s">
        <v>586</v>
      </c>
      <c r="D47" t="s">
        <v>152</v>
      </c>
      <c r="E47" t="s">
        <v>305</v>
      </c>
      <c r="F47" t="s">
        <v>273</v>
      </c>
      <c r="G47" t="s">
        <v>673</v>
      </c>
    </row>
    <row r="48" spans="1:7" x14ac:dyDescent="0.25">
      <c r="A48" t="s">
        <v>604</v>
      </c>
      <c r="B48" t="s">
        <v>463</v>
      </c>
      <c r="C48" t="s">
        <v>463</v>
      </c>
      <c r="D48" t="s">
        <v>148</v>
      </c>
      <c r="E48" t="s">
        <v>460</v>
      </c>
      <c r="F48" t="s">
        <v>460</v>
      </c>
      <c r="G48" t="s">
        <v>645</v>
      </c>
    </row>
    <row r="49" spans="1:7" x14ac:dyDescent="0.25">
      <c r="A49" t="s">
        <v>606</v>
      </c>
      <c r="B49" t="s">
        <v>475</v>
      </c>
      <c r="C49" t="s">
        <v>475</v>
      </c>
      <c r="D49" t="s">
        <v>209</v>
      </c>
      <c r="E49" t="s">
        <v>460</v>
      </c>
      <c r="F49" t="s">
        <v>460</v>
      </c>
      <c r="G49" t="s">
        <v>645</v>
      </c>
    </row>
    <row r="50" spans="1:7" x14ac:dyDescent="0.25">
      <c r="A50" t="s">
        <v>610</v>
      </c>
      <c r="B50" s="5" t="s">
        <v>464</v>
      </c>
      <c r="C50" s="5" t="s">
        <v>464</v>
      </c>
      <c r="D50" t="s">
        <v>152</v>
      </c>
      <c r="E50" t="s">
        <v>460</v>
      </c>
      <c r="F50" t="s">
        <v>460</v>
      </c>
      <c r="G50" t="s">
        <v>645</v>
      </c>
    </row>
    <row r="51" spans="1:7" x14ac:dyDescent="0.25">
      <c r="A51" t="s">
        <v>608</v>
      </c>
      <c r="B51" t="s">
        <v>465</v>
      </c>
      <c r="C51" t="s">
        <v>465</v>
      </c>
      <c r="D51" t="s">
        <v>166</v>
      </c>
      <c r="E51" t="s">
        <v>460</v>
      </c>
      <c r="F51" t="s">
        <v>460</v>
      </c>
      <c r="G51" t="s">
        <v>645</v>
      </c>
    </row>
    <row r="52" spans="1:7" x14ac:dyDescent="0.25">
      <c r="A52" t="s">
        <v>607</v>
      </c>
      <c r="B52" t="s">
        <v>472</v>
      </c>
      <c r="C52" t="s">
        <v>472</v>
      </c>
      <c r="D52" t="s">
        <v>146</v>
      </c>
      <c r="E52" t="s">
        <v>460</v>
      </c>
      <c r="F52" t="s">
        <v>460</v>
      </c>
      <c r="G52" t="s">
        <v>645</v>
      </c>
    </row>
    <row r="53" spans="1:7" x14ac:dyDescent="0.25">
      <c r="A53" t="s">
        <v>458</v>
      </c>
      <c r="B53" t="s">
        <v>458</v>
      </c>
      <c r="C53" t="s">
        <v>458</v>
      </c>
      <c r="D53" t="s">
        <v>459</v>
      </c>
      <c r="E53" t="s">
        <v>460</v>
      </c>
      <c r="F53" t="s">
        <v>460</v>
      </c>
      <c r="G53" t="s">
        <v>645</v>
      </c>
    </row>
    <row r="54" spans="1:7" x14ac:dyDescent="0.25">
      <c r="A54" t="s">
        <v>461</v>
      </c>
      <c r="B54" t="s">
        <v>461</v>
      </c>
      <c r="C54" t="s">
        <v>461</v>
      </c>
      <c r="D54" t="s">
        <v>462</v>
      </c>
      <c r="E54" t="s">
        <v>460</v>
      </c>
      <c r="F54" t="s">
        <v>460</v>
      </c>
      <c r="G54" t="s">
        <v>645</v>
      </c>
    </row>
    <row r="55" spans="1:7" x14ac:dyDescent="0.25">
      <c r="A55" t="s">
        <v>463</v>
      </c>
      <c r="B55" t="s">
        <v>463</v>
      </c>
      <c r="C55" t="s">
        <v>463</v>
      </c>
      <c r="D55" t="s">
        <v>148</v>
      </c>
      <c r="E55" t="s">
        <v>460</v>
      </c>
      <c r="F55" t="s">
        <v>460</v>
      </c>
      <c r="G55" t="s">
        <v>645</v>
      </c>
    </row>
    <row r="56" spans="1:7" x14ac:dyDescent="0.25">
      <c r="A56" t="s">
        <v>475</v>
      </c>
      <c r="B56" t="s">
        <v>475</v>
      </c>
      <c r="C56" t="s">
        <v>475</v>
      </c>
      <c r="D56" t="s">
        <v>209</v>
      </c>
      <c r="E56" t="s">
        <v>460</v>
      </c>
      <c r="F56" t="s">
        <v>460</v>
      </c>
      <c r="G56" t="s">
        <v>645</v>
      </c>
    </row>
    <row r="57" spans="1:7" x14ac:dyDescent="0.25">
      <c r="A57" t="s">
        <v>464</v>
      </c>
      <c r="B57" t="s">
        <v>464</v>
      </c>
      <c r="C57" t="s">
        <v>464</v>
      </c>
      <c r="D57" t="s">
        <v>152</v>
      </c>
      <c r="E57" t="s">
        <v>460</v>
      </c>
      <c r="F57" t="s">
        <v>460</v>
      </c>
      <c r="G57" t="s">
        <v>645</v>
      </c>
    </row>
    <row r="58" spans="1:7" x14ac:dyDescent="0.25">
      <c r="A58" t="s">
        <v>465</v>
      </c>
      <c r="B58" t="s">
        <v>465</v>
      </c>
      <c r="C58" t="s">
        <v>465</v>
      </c>
      <c r="D58" t="s">
        <v>166</v>
      </c>
      <c r="E58" t="s">
        <v>460</v>
      </c>
      <c r="F58" t="s">
        <v>460</v>
      </c>
      <c r="G58" t="s">
        <v>645</v>
      </c>
    </row>
    <row r="59" spans="1:7" x14ac:dyDescent="0.25">
      <c r="A59" t="s">
        <v>466</v>
      </c>
      <c r="B59" t="s">
        <v>466</v>
      </c>
      <c r="C59" t="s">
        <v>466</v>
      </c>
      <c r="D59" t="s">
        <v>467</v>
      </c>
      <c r="E59" t="s">
        <v>460</v>
      </c>
      <c r="F59" t="s">
        <v>460</v>
      </c>
      <c r="G59" t="s">
        <v>645</v>
      </c>
    </row>
    <row r="60" spans="1:7" x14ac:dyDescent="0.25">
      <c r="A60" t="s">
        <v>468</v>
      </c>
      <c r="B60" t="s">
        <v>468</v>
      </c>
      <c r="C60" t="s">
        <v>468</v>
      </c>
      <c r="D60" t="s">
        <v>469</v>
      </c>
      <c r="E60" t="s">
        <v>460</v>
      </c>
      <c r="F60" t="s">
        <v>460</v>
      </c>
      <c r="G60" t="s">
        <v>645</v>
      </c>
    </row>
    <row r="61" spans="1:7" x14ac:dyDescent="0.25">
      <c r="A61" t="s">
        <v>470</v>
      </c>
      <c r="B61" t="s">
        <v>470</v>
      </c>
      <c r="C61" t="s">
        <v>470</v>
      </c>
      <c r="D61" t="s">
        <v>471</v>
      </c>
      <c r="E61" t="s">
        <v>460</v>
      </c>
      <c r="F61" t="s">
        <v>460</v>
      </c>
      <c r="G61" t="s">
        <v>645</v>
      </c>
    </row>
    <row r="62" spans="1:7" x14ac:dyDescent="0.25">
      <c r="A62" t="s">
        <v>472</v>
      </c>
      <c r="B62" t="s">
        <v>472</v>
      </c>
      <c r="C62" t="s">
        <v>472</v>
      </c>
      <c r="D62" t="s">
        <v>146</v>
      </c>
      <c r="E62" t="s">
        <v>460</v>
      </c>
      <c r="F62" t="s">
        <v>460</v>
      </c>
      <c r="G62" t="s">
        <v>645</v>
      </c>
    </row>
    <row r="63" spans="1:7" x14ac:dyDescent="0.25">
      <c r="A63" t="s">
        <v>473</v>
      </c>
      <c r="B63" t="s">
        <v>473</v>
      </c>
      <c r="C63" t="s">
        <v>473</v>
      </c>
      <c r="D63" t="s">
        <v>474</v>
      </c>
      <c r="E63" t="s">
        <v>460</v>
      </c>
      <c r="F63" t="s">
        <v>460</v>
      </c>
      <c r="G63" t="s">
        <v>645</v>
      </c>
    </row>
    <row r="64" spans="1:7" x14ac:dyDescent="0.25">
      <c r="A64" t="s">
        <v>100</v>
      </c>
      <c r="B64" t="s">
        <v>239</v>
      </c>
      <c r="C64" t="s">
        <v>419</v>
      </c>
      <c r="D64" t="s">
        <v>146</v>
      </c>
      <c r="E64" t="s">
        <v>181</v>
      </c>
      <c r="F64" t="s">
        <v>182</v>
      </c>
      <c r="G64" t="s">
        <v>190</v>
      </c>
    </row>
    <row r="65" spans="1:7" x14ac:dyDescent="0.25">
      <c r="A65" t="s">
        <v>529</v>
      </c>
      <c r="B65" t="s">
        <v>561</v>
      </c>
      <c r="C65" t="s">
        <v>560</v>
      </c>
      <c r="D65" t="s">
        <v>152</v>
      </c>
      <c r="E65" t="s">
        <v>305</v>
      </c>
      <c r="F65" t="s">
        <v>565</v>
      </c>
      <c r="G65" t="s">
        <v>669</v>
      </c>
    </row>
    <row r="66" spans="1:7" x14ac:dyDescent="0.25">
      <c r="A66" t="s">
        <v>101</v>
      </c>
      <c r="B66" t="s">
        <v>240</v>
      </c>
      <c r="C66" t="s">
        <v>420</v>
      </c>
      <c r="D66" t="s">
        <v>146</v>
      </c>
      <c r="E66" t="s">
        <v>181</v>
      </c>
      <c r="F66" t="s">
        <v>182</v>
      </c>
      <c r="G66" t="s">
        <v>199</v>
      </c>
    </row>
    <row r="67" spans="1:7" x14ac:dyDescent="0.25">
      <c r="A67" t="s">
        <v>5</v>
      </c>
      <c r="B67" t="s">
        <v>189</v>
      </c>
      <c r="C67" t="s">
        <v>376</v>
      </c>
      <c r="D67" t="s">
        <v>148</v>
      </c>
      <c r="E67" t="s">
        <v>181</v>
      </c>
      <c r="F67" t="s">
        <v>182</v>
      </c>
      <c r="G67" t="s">
        <v>190</v>
      </c>
    </row>
    <row r="68" spans="1:7" x14ac:dyDescent="0.25">
      <c r="A68" t="s">
        <v>81</v>
      </c>
      <c r="B68" t="s">
        <v>228</v>
      </c>
      <c r="C68" t="s">
        <v>408</v>
      </c>
      <c r="D68" t="s">
        <v>146</v>
      </c>
      <c r="E68" t="s">
        <v>181</v>
      </c>
      <c r="F68" t="s">
        <v>182</v>
      </c>
      <c r="G68" t="s">
        <v>183</v>
      </c>
    </row>
    <row r="69" spans="1:7" x14ac:dyDescent="0.25">
      <c r="A69" t="s">
        <v>102</v>
      </c>
      <c r="B69" t="s">
        <v>241</v>
      </c>
      <c r="C69" t="s">
        <v>421</v>
      </c>
      <c r="D69" t="s">
        <v>146</v>
      </c>
      <c r="E69" t="s">
        <v>181</v>
      </c>
      <c r="F69" t="s">
        <v>182</v>
      </c>
      <c r="G69" t="s">
        <v>221</v>
      </c>
    </row>
    <row r="70" spans="1:7" x14ac:dyDescent="0.25">
      <c r="A70" t="s">
        <v>57</v>
      </c>
      <c r="B70" t="s">
        <v>325</v>
      </c>
      <c r="C70" t="s">
        <v>326</v>
      </c>
      <c r="D70" t="s">
        <v>152</v>
      </c>
      <c r="E70" t="s">
        <v>305</v>
      </c>
      <c r="F70" t="s">
        <v>273</v>
      </c>
      <c r="G70" t="s">
        <v>674</v>
      </c>
    </row>
    <row r="71" spans="1:7" x14ac:dyDescent="0.25">
      <c r="A71" t="s">
        <v>19</v>
      </c>
      <c r="B71" t="s">
        <v>207</v>
      </c>
      <c r="C71" t="s">
        <v>389</v>
      </c>
      <c r="D71" t="s">
        <v>152</v>
      </c>
      <c r="E71" t="s">
        <v>181</v>
      </c>
      <c r="F71" t="s">
        <v>182</v>
      </c>
      <c r="G71" t="s">
        <v>183</v>
      </c>
    </row>
    <row r="72" spans="1:7" x14ac:dyDescent="0.25">
      <c r="A72" t="s">
        <v>32</v>
      </c>
      <c r="B72" t="s">
        <v>219</v>
      </c>
      <c r="C72" t="s">
        <v>400</v>
      </c>
      <c r="D72" t="s">
        <v>152</v>
      </c>
      <c r="E72" t="s">
        <v>181</v>
      </c>
      <c r="F72" t="s">
        <v>182</v>
      </c>
      <c r="G72" t="s">
        <v>195</v>
      </c>
    </row>
    <row r="73" spans="1:7" x14ac:dyDescent="0.25">
      <c r="A73" t="s">
        <v>103</v>
      </c>
      <c r="B73" t="s">
        <v>242</v>
      </c>
      <c r="C73" t="s">
        <v>422</v>
      </c>
      <c r="D73" t="s">
        <v>146</v>
      </c>
      <c r="E73" t="s">
        <v>181</v>
      </c>
      <c r="F73" t="s">
        <v>182</v>
      </c>
      <c r="G73" t="s">
        <v>183</v>
      </c>
    </row>
    <row r="74" spans="1:7" x14ac:dyDescent="0.25">
      <c r="A74" t="s">
        <v>479</v>
      </c>
      <c r="B74" t="s">
        <v>479</v>
      </c>
      <c r="C74" t="s">
        <v>479</v>
      </c>
      <c r="D74" t="s">
        <v>152</v>
      </c>
      <c r="E74" t="s">
        <v>346</v>
      </c>
      <c r="F74" t="s">
        <v>637</v>
      </c>
    </row>
    <row r="75" spans="1:7" x14ac:dyDescent="0.25">
      <c r="A75" t="s">
        <v>72</v>
      </c>
      <c r="B75" t="s">
        <v>290</v>
      </c>
      <c r="C75" t="s">
        <v>291</v>
      </c>
      <c r="D75" t="s">
        <v>152</v>
      </c>
      <c r="E75" t="s">
        <v>181</v>
      </c>
      <c r="F75" t="s">
        <v>273</v>
      </c>
      <c r="G75" t="s">
        <v>653</v>
      </c>
    </row>
    <row r="76" spans="1:7" x14ac:dyDescent="0.25">
      <c r="A76" t="s">
        <v>73</v>
      </c>
      <c r="B76" t="s">
        <v>338</v>
      </c>
      <c r="C76" t="s">
        <v>339</v>
      </c>
      <c r="D76" t="s">
        <v>152</v>
      </c>
      <c r="E76" t="s">
        <v>305</v>
      </c>
      <c r="F76" t="s">
        <v>273</v>
      </c>
      <c r="G76" t="s">
        <v>686</v>
      </c>
    </row>
    <row r="77" spans="1:7" x14ac:dyDescent="0.25">
      <c r="A77" t="s">
        <v>104</v>
      </c>
      <c r="B77" t="s">
        <v>243</v>
      </c>
      <c r="C77" t="s">
        <v>423</v>
      </c>
      <c r="D77" t="s">
        <v>146</v>
      </c>
      <c r="E77" t="s">
        <v>181</v>
      </c>
      <c r="F77" t="s">
        <v>182</v>
      </c>
      <c r="G77" t="s">
        <v>195</v>
      </c>
    </row>
    <row r="78" spans="1:7" x14ac:dyDescent="0.25">
      <c r="A78" t="s">
        <v>142</v>
      </c>
      <c r="B78" t="s">
        <v>269</v>
      </c>
      <c r="C78" t="s">
        <v>449</v>
      </c>
      <c r="D78" t="s">
        <v>152</v>
      </c>
      <c r="E78" t="s">
        <v>305</v>
      </c>
      <c r="F78" t="s">
        <v>271</v>
      </c>
      <c r="G78" t="s">
        <v>667</v>
      </c>
    </row>
    <row r="79" spans="1:7" x14ac:dyDescent="0.25">
      <c r="A79" t="s">
        <v>78</v>
      </c>
      <c r="B79" t="s">
        <v>257</v>
      </c>
      <c r="C79" t="s">
        <v>437</v>
      </c>
      <c r="D79" t="s">
        <v>152</v>
      </c>
      <c r="E79" t="s">
        <v>305</v>
      </c>
      <c r="F79" t="s">
        <v>271</v>
      </c>
      <c r="G79" t="s">
        <v>667</v>
      </c>
    </row>
    <row r="80" spans="1:7" x14ac:dyDescent="0.25">
      <c r="A80" t="s">
        <v>141</v>
      </c>
      <c r="B80" t="s">
        <v>268</v>
      </c>
      <c r="C80" t="s">
        <v>448</v>
      </c>
      <c r="D80" t="s">
        <v>152</v>
      </c>
      <c r="E80" t="s">
        <v>305</v>
      </c>
      <c r="F80" t="s">
        <v>271</v>
      </c>
      <c r="G80" t="s">
        <v>667</v>
      </c>
    </row>
    <row r="81" spans="1:7" x14ac:dyDescent="0.25">
      <c r="A81" t="s">
        <v>28</v>
      </c>
      <c r="B81" t="s">
        <v>217</v>
      </c>
      <c r="C81" t="s">
        <v>398</v>
      </c>
      <c r="D81" t="s">
        <v>152</v>
      </c>
      <c r="E81" t="s">
        <v>181</v>
      </c>
      <c r="F81" t="s">
        <v>182</v>
      </c>
      <c r="G81" t="s">
        <v>183</v>
      </c>
    </row>
    <row r="82" spans="1:7" x14ac:dyDescent="0.25">
      <c r="A82" t="s">
        <v>60</v>
      </c>
      <c r="B82" t="s">
        <v>225</v>
      </c>
      <c r="C82" t="s">
        <v>405</v>
      </c>
      <c r="D82" t="s">
        <v>152</v>
      </c>
      <c r="E82" t="s">
        <v>181</v>
      </c>
      <c r="F82" t="s">
        <v>182</v>
      </c>
      <c r="G82" t="s">
        <v>212</v>
      </c>
    </row>
    <row r="83" spans="1:7" x14ac:dyDescent="0.25">
      <c r="A83" t="s">
        <v>67</v>
      </c>
      <c r="B83" t="s">
        <v>334</v>
      </c>
      <c r="C83" t="s">
        <v>335</v>
      </c>
      <c r="D83" t="s">
        <v>152</v>
      </c>
      <c r="E83" t="s">
        <v>357</v>
      </c>
      <c r="F83" t="s">
        <v>273</v>
      </c>
      <c r="G83" t="s">
        <v>639</v>
      </c>
    </row>
    <row r="84" spans="1:7" x14ac:dyDescent="0.25">
      <c r="A84" t="s">
        <v>34</v>
      </c>
      <c r="B84" t="s">
        <v>350</v>
      </c>
      <c r="C84" t="s">
        <v>351</v>
      </c>
      <c r="D84" t="s">
        <v>146</v>
      </c>
      <c r="E84" t="s">
        <v>348</v>
      </c>
      <c r="F84" t="s">
        <v>273</v>
      </c>
      <c r="G84" t="s">
        <v>649</v>
      </c>
    </row>
    <row r="85" spans="1:7" x14ac:dyDescent="0.25">
      <c r="A85" t="s">
        <v>592</v>
      </c>
      <c r="B85" t="s">
        <v>152</v>
      </c>
      <c r="C85" s="5" t="s">
        <v>479</v>
      </c>
      <c r="D85" t="s">
        <v>152</v>
      </c>
      <c r="E85" t="s">
        <v>346</v>
      </c>
      <c r="F85" t="s">
        <v>637</v>
      </c>
    </row>
    <row r="86" spans="1:7" x14ac:dyDescent="0.25">
      <c r="A86" t="s">
        <v>537</v>
      </c>
      <c r="B86" s="3" t="s">
        <v>612</v>
      </c>
      <c r="C86" s="5" t="s">
        <v>479</v>
      </c>
      <c r="D86" t="s">
        <v>152</v>
      </c>
      <c r="E86" t="s">
        <v>346</v>
      </c>
      <c r="F86" t="s">
        <v>637</v>
      </c>
    </row>
    <row r="87" spans="1:7" x14ac:dyDescent="0.25">
      <c r="A87" t="s">
        <v>636</v>
      </c>
      <c r="B87" t="s">
        <v>636</v>
      </c>
      <c r="C87" s="4" t="s">
        <v>635</v>
      </c>
      <c r="D87" t="s">
        <v>146</v>
      </c>
      <c r="E87" t="s">
        <v>346</v>
      </c>
      <c r="F87" t="s">
        <v>637</v>
      </c>
    </row>
    <row r="88" spans="1:7" x14ac:dyDescent="0.25">
      <c r="A88" t="s">
        <v>539</v>
      </c>
      <c r="B88" t="s">
        <v>563</v>
      </c>
      <c r="C88" t="s">
        <v>574</v>
      </c>
      <c r="D88" t="s">
        <v>152</v>
      </c>
      <c r="E88" t="s">
        <v>305</v>
      </c>
      <c r="F88" t="s">
        <v>565</v>
      </c>
      <c r="G88" t="s">
        <v>666</v>
      </c>
    </row>
    <row r="89" spans="1:7" x14ac:dyDescent="0.25">
      <c r="A89" t="s">
        <v>86</v>
      </c>
      <c r="B89" t="s">
        <v>260</v>
      </c>
      <c r="C89" t="s">
        <v>440</v>
      </c>
      <c r="D89" t="s">
        <v>152</v>
      </c>
      <c r="E89" t="s">
        <v>305</v>
      </c>
      <c r="F89" t="s">
        <v>271</v>
      </c>
      <c r="G89" t="s">
        <v>667</v>
      </c>
    </row>
    <row r="90" spans="1:7" x14ac:dyDescent="0.25">
      <c r="A90" t="s">
        <v>627</v>
      </c>
      <c r="B90" t="s">
        <v>627</v>
      </c>
      <c r="C90" t="s">
        <v>627</v>
      </c>
      <c r="D90" t="s">
        <v>459</v>
      </c>
      <c r="E90" t="s">
        <v>460</v>
      </c>
      <c r="F90" t="s">
        <v>460</v>
      </c>
      <c r="G90" t="s">
        <v>647</v>
      </c>
    </row>
    <row r="91" spans="1:7" x14ac:dyDescent="0.25">
      <c r="A91" t="s">
        <v>628</v>
      </c>
      <c r="B91" t="s">
        <v>628</v>
      </c>
      <c r="C91" t="s">
        <v>628</v>
      </c>
      <c r="D91" t="s">
        <v>462</v>
      </c>
      <c r="E91" t="s">
        <v>460</v>
      </c>
      <c r="F91" t="s">
        <v>460</v>
      </c>
      <c r="G91" t="s">
        <v>647</v>
      </c>
    </row>
    <row r="92" spans="1:7" x14ac:dyDescent="0.25">
      <c r="A92" t="s">
        <v>629</v>
      </c>
      <c r="B92" t="s">
        <v>629</v>
      </c>
      <c r="C92" t="s">
        <v>629</v>
      </c>
      <c r="D92" t="s">
        <v>148</v>
      </c>
      <c r="E92" t="s">
        <v>460</v>
      </c>
      <c r="F92" t="s">
        <v>460</v>
      </c>
      <c r="G92" t="s">
        <v>647</v>
      </c>
    </row>
    <row r="93" spans="1:7" x14ac:dyDescent="0.25">
      <c r="A93" t="s">
        <v>630</v>
      </c>
      <c r="B93" t="s">
        <v>630</v>
      </c>
      <c r="C93" t="s">
        <v>630</v>
      </c>
      <c r="D93" t="s">
        <v>209</v>
      </c>
      <c r="E93" t="s">
        <v>460</v>
      </c>
      <c r="F93" t="s">
        <v>460</v>
      </c>
      <c r="G93" t="s">
        <v>647</v>
      </c>
    </row>
    <row r="94" spans="1:7" x14ac:dyDescent="0.25">
      <c r="A94" t="s">
        <v>631</v>
      </c>
      <c r="B94" t="s">
        <v>631</v>
      </c>
      <c r="C94" t="s">
        <v>631</v>
      </c>
      <c r="D94" t="s">
        <v>152</v>
      </c>
      <c r="E94" t="s">
        <v>460</v>
      </c>
      <c r="F94" t="s">
        <v>460</v>
      </c>
      <c r="G94" t="s">
        <v>647</v>
      </c>
    </row>
    <row r="95" spans="1:7" x14ac:dyDescent="0.25">
      <c r="A95" t="s">
        <v>632</v>
      </c>
      <c r="B95" t="s">
        <v>632</v>
      </c>
      <c r="C95" t="s">
        <v>632</v>
      </c>
      <c r="D95" t="s">
        <v>166</v>
      </c>
      <c r="E95" t="s">
        <v>460</v>
      </c>
      <c r="F95" t="s">
        <v>460</v>
      </c>
      <c r="G95" t="s">
        <v>647</v>
      </c>
    </row>
    <row r="96" spans="1:7" x14ac:dyDescent="0.25">
      <c r="A96" t="s">
        <v>633</v>
      </c>
      <c r="B96" t="s">
        <v>633</v>
      </c>
      <c r="C96" t="s">
        <v>633</v>
      </c>
      <c r="D96" t="s">
        <v>467</v>
      </c>
      <c r="E96" t="s">
        <v>460</v>
      </c>
      <c r="F96" t="s">
        <v>460</v>
      </c>
      <c r="G96" t="s">
        <v>647</v>
      </c>
    </row>
    <row r="97" spans="1:7" x14ac:dyDescent="0.25">
      <c r="A97" t="s">
        <v>634</v>
      </c>
      <c r="B97" t="s">
        <v>634</v>
      </c>
      <c r="C97" t="s">
        <v>634</v>
      </c>
      <c r="D97" t="s">
        <v>471</v>
      </c>
      <c r="E97" t="s">
        <v>460</v>
      </c>
      <c r="F97" t="s">
        <v>460</v>
      </c>
      <c r="G97" t="s">
        <v>647</v>
      </c>
    </row>
    <row r="98" spans="1:7" x14ac:dyDescent="0.25">
      <c r="A98" t="s">
        <v>546</v>
      </c>
      <c r="B98" t="s">
        <v>597</v>
      </c>
      <c r="C98" t="s">
        <v>597</v>
      </c>
      <c r="D98" t="s">
        <v>152</v>
      </c>
      <c r="E98" t="s">
        <v>460</v>
      </c>
      <c r="F98" t="s">
        <v>460</v>
      </c>
      <c r="G98" t="s">
        <v>647</v>
      </c>
    </row>
    <row r="99" spans="1:7" x14ac:dyDescent="0.25">
      <c r="A99" t="s">
        <v>483</v>
      </c>
      <c r="B99" t="s">
        <v>595</v>
      </c>
      <c r="C99" t="s">
        <v>595</v>
      </c>
      <c r="D99" t="s">
        <v>148</v>
      </c>
      <c r="E99" t="s">
        <v>460</v>
      </c>
      <c r="F99" t="s">
        <v>460</v>
      </c>
      <c r="G99" t="s">
        <v>647</v>
      </c>
    </row>
    <row r="100" spans="1:7" x14ac:dyDescent="0.25">
      <c r="A100" t="s">
        <v>538</v>
      </c>
      <c r="B100" t="s">
        <v>602</v>
      </c>
      <c r="C100" t="s">
        <v>602</v>
      </c>
      <c r="D100" t="s">
        <v>146</v>
      </c>
      <c r="E100" t="s">
        <v>460</v>
      </c>
      <c r="F100" t="s">
        <v>460</v>
      </c>
      <c r="G100" t="s">
        <v>647</v>
      </c>
    </row>
    <row r="101" spans="1:7" x14ac:dyDescent="0.25">
      <c r="A101" t="s">
        <v>541</v>
      </c>
      <c r="B101" t="s">
        <v>598</v>
      </c>
      <c r="C101" t="s">
        <v>598</v>
      </c>
      <c r="D101" t="s">
        <v>166</v>
      </c>
      <c r="E101" t="s">
        <v>460</v>
      </c>
      <c r="F101" t="s">
        <v>460</v>
      </c>
      <c r="G101" t="s">
        <v>647</v>
      </c>
    </row>
    <row r="102" spans="1:7" x14ac:dyDescent="0.25">
      <c r="A102" t="s">
        <v>487</v>
      </c>
      <c r="B102" t="s">
        <v>600</v>
      </c>
      <c r="C102" t="s">
        <v>600</v>
      </c>
      <c r="D102" t="s">
        <v>469</v>
      </c>
      <c r="E102" t="s">
        <v>460</v>
      </c>
      <c r="F102" t="s">
        <v>460</v>
      </c>
      <c r="G102" t="s">
        <v>647</v>
      </c>
    </row>
    <row r="103" spans="1:7" x14ac:dyDescent="0.25">
      <c r="A103" t="s">
        <v>489</v>
      </c>
      <c r="B103" t="s">
        <v>602</v>
      </c>
      <c r="C103" t="s">
        <v>602</v>
      </c>
      <c r="D103" t="s">
        <v>146</v>
      </c>
      <c r="E103" t="s">
        <v>460</v>
      </c>
      <c r="F103" t="s">
        <v>460</v>
      </c>
      <c r="G103" t="s">
        <v>647</v>
      </c>
    </row>
    <row r="104" spans="1:7" x14ac:dyDescent="0.25">
      <c r="A104" t="s">
        <v>490</v>
      </c>
      <c r="B104" t="s">
        <v>603</v>
      </c>
      <c r="C104" t="s">
        <v>603</v>
      </c>
      <c r="D104" t="s">
        <v>474</v>
      </c>
      <c r="E104" t="s">
        <v>460</v>
      </c>
      <c r="F104" t="s">
        <v>460</v>
      </c>
      <c r="G104" t="s">
        <v>647</v>
      </c>
    </row>
    <row r="105" spans="1:7" x14ac:dyDescent="0.25">
      <c r="A105" t="s">
        <v>481</v>
      </c>
      <c r="B105" t="s">
        <v>593</v>
      </c>
      <c r="C105" t="s">
        <v>593</v>
      </c>
      <c r="D105" t="s">
        <v>459</v>
      </c>
      <c r="E105" t="s">
        <v>460</v>
      </c>
      <c r="F105" t="s">
        <v>460</v>
      </c>
      <c r="G105" t="s">
        <v>647</v>
      </c>
    </row>
    <row r="106" spans="1:7" x14ac:dyDescent="0.25">
      <c r="A106" t="s">
        <v>482</v>
      </c>
      <c r="B106" t="s">
        <v>594</v>
      </c>
      <c r="C106" t="s">
        <v>594</v>
      </c>
      <c r="D106" t="s">
        <v>462</v>
      </c>
      <c r="E106" t="s">
        <v>460</v>
      </c>
      <c r="F106" t="s">
        <v>460</v>
      </c>
      <c r="G106" t="s">
        <v>647</v>
      </c>
    </row>
    <row r="107" spans="1:7" x14ac:dyDescent="0.25">
      <c r="A107" t="s">
        <v>542</v>
      </c>
      <c r="B107" t="s">
        <v>595</v>
      </c>
      <c r="C107" t="s">
        <v>595</v>
      </c>
      <c r="D107" t="s">
        <v>148</v>
      </c>
      <c r="E107" t="s">
        <v>460</v>
      </c>
      <c r="F107" t="s">
        <v>460</v>
      </c>
      <c r="G107" t="s">
        <v>647</v>
      </c>
    </row>
    <row r="108" spans="1:7" x14ac:dyDescent="0.25">
      <c r="A108" t="s">
        <v>501</v>
      </c>
      <c r="B108" t="s">
        <v>596</v>
      </c>
      <c r="C108" t="s">
        <v>596</v>
      </c>
      <c r="D108" t="s">
        <v>209</v>
      </c>
      <c r="E108" t="s">
        <v>460</v>
      </c>
      <c r="F108" t="s">
        <v>460</v>
      </c>
      <c r="G108" t="s">
        <v>647</v>
      </c>
    </row>
    <row r="109" spans="1:7" x14ac:dyDescent="0.25">
      <c r="A109" t="s">
        <v>484</v>
      </c>
      <c r="B109" t="s">
        <v>597</v>
      </c>
      <c r="C109" t="s">
        <v>597</v>
      </c>
      <c r="D109" t="s">
        <v>152</v>
      </c>
      <c r="E109" t="s">
        <v>460</v>
      </c>
      <c r="F109" t="s">
        <v>460</v>
      </c>
      <c r="G109" t="s">
        <v>647</v>
      </c>
    </row>
    <row r="110" spans="1:7" x14ac:dyDescent="0.25">
      <c r="A110" t="s">
        <v>485</v>
      </c>
      <c r="B110" t="s">
        <v>598</v>
      </c>
      <c r="C110" t="s">
        <v>598</v>
      </c>
      <c r="D110" t="s">
        <v>166</v>
      </c>
      <c r="E110" t="s">
        <v>460</v>
      </c>
      <c r="F110" t="s">
        <v>460</v>
      </c>
      <c r="G110" t="s">
        <v>647</v>
      </c>
    </row>
    <row r="111" spans="1:7" x14ac:dyDescent="0.25">
      <c r="A111" t="s">
        <v>486</v>
      </c>
      <c r="B111" t="s">
        <v>599</v>
      </c>
      <c r="C111" t="s">
        <v>599</v>
      </c>
      <c r="D111" t="s">
        <v>467</v>
      </c>
      <c r="E111" t="s">
        <v>460</v>
      </c>
      <c r="F111" t="s">
        <v>460</v>
      </c>
      <c r="G111" t="s">
        <v>647</v>
      </c>
    </row>
    <row r="112" spans="1:7" x14ac:dyDescent="0.25">
      <c r="A112" t="s">
        <v>476</v>
      </c>
      <c r="B112" t="s">
        <v>600</v>
      </c>
      <c r="C112" t="s">
        <v>600</v>
      </c>
      <c r="D112" t="s">
        <v>469</v>
      </c>
      <c r="E112" t="s">
        <v>460</v>
      </c>
      <c r="F112" t="s">
        <v>460</v>
      </c>
      <c r="G112" t="s">
        <v>647</v>
      </c>
    </row>
    <row r="113" spans="1:7" x14ac:dyDescent="0.25">
      <c r="A113" t="s">
        <v>488</v>
      </c>
      <c r="B113" t="s">
        <v>601</v>
      </c>
      <c r="C113" t="s">
        <v>601</v>
      </c>
      <c r="D113" t="s">
        <v>471</v>
      </c>
      <c r="E113" t="s">
        <v>460</v>
      </c>
      <c r="F113" t="s">
        <v>460</v>
      </c>
      <c r="G113" t="s">
        <v>647</v>
      </c>
    </row>
    <row r="114" spans="1:7" x14ac:dyDescent="0.25">
      <c r="A114" t="s">
        <v>477</v>
      </c>
      <c r="B114" t="s">
        <v>602</v>
      </c>
      <c r="C114" t="s">
        <v>602</v>
      </c>
      <c r="D114" t="s">
        <v>146</v>
      </c>
      <c r="E114" t="s">
        <v>460</v>
      </c>
      <c r="F114" t="s">
        <v>460</v>
      </c>
      <c r="G114" t="s">
        <v>647</v>
      </c>
    </row>
    <row r="115" spans="1:7" x14ac:dyDescent="0.25">
      <c r="A115" t="s">
        <v>478</v>
      </c>
      <c r="B115" t="s">
        <v>603</v>
      </c>
      <c r="C115" t="s">
        <v>603</v>
      </c>
      <c r="D115" t="s">
        <v>474</v>
      </c>
      <c r="E115" t="s">
        <v>460</v>
      </c>
      <c r="F115" t="s">
        <v>460</v>
      </c>
      <c r="G115" t="s">
        <v>647</v>
      </c>
    </row>
    <row r="116" spans="1:7" x14ac:dyDescent="0.25">
      <c r="A116" t="s">
        <v>37</v>
      </c>
      <c r="B116" t="s">
        <v>223</v>
      </c>
      <c r="C116" t="s">
        <v>403</v>
      </c>
      <c r="D116" t="s">
        <v>152</v>
      </c>
      <c r="E116" t="s">
        <v>181</v>
      </c>
      <c r="F116" t="s">
        <v>182</v>
      </c>
      <c r="G116" t="s">
        <v>197</v>
      </c>
    </row>
    <row r="117" spans="1:7" x14ac:dyDescent="0.25">
      <c r="A117" t="s">
        <v>87</v>
      </c>
      <c r="B117" t="s">
        <v>261</v>
      </c>
      <c r="C117" t="s">
        <v>441</v>
      </c>
      <c r="D117" t="s">
        <v>152</v>
      </c>
      <c r="E117" t="s">
        <v>305</v>
      </c>
      <c r="F117" t="s">
        <v>271</v>
      </c>
      <c r="G117" t="s">
        <v>667</v>
      </c>
    </row>
    <row r="118" spans="1:7" x14ac:dyDescent="0.25">
      <c r="A118" t="s">
        <v>2</v>
      </c>
      <c r="B118" t="s">
        <v>613</v>
      </c>
      <c r="C118" t="s">
        <v>145</v>
      </c>
      <c r="D118" t="s">
        <v>146</v>
      </c>
      <c r="E118" t="s">
        <v>348</v>
      </c>
      <c r="F118" t="s">
        <v>371</v>
      </c>
      <c r="G118" t="s">
        <v>650</v>
      </c>
    </row>
    <row r="119" spans="1:7" x14ac:dyDescent="0.25">
      <c r="A119" t="s">
        <v>549</v>
      </c>
      <c r="B119" t="s">
        <v>619</v>
      </c>
      <c r="C119" t="s">
        <v>591</v>
      </c>
      <c r="D119" t="s">
        <v>146</v>
      </c>
      <c r="E119" t="s">
        <v>348</v>
      </c>
      <c r="F119" t="s">
        <v>371</v>
      </c>
      <c r="G119" t="s">
        <v>650</v>
      </c>
    </row>
    <row r="120" spans="1:7" x14ac:dyDescent="0.25">
      <c r="A120" t="s">
        <v>532</v>
      </c>
      <c r="B120" t="s">
        <v>614</v>
      </c>
      <c r="C120" t="s">
        <v>590</v>
      </c>
      <c r="D120" t="s">
        <v>152</v>
      </c>
      <c r="E120" t="s">
        <v>348</v>
      </c>
      <c r="F120" t="s">
        <v>371</v>
      </c>
      <c r="G120" t="s">
        <v>650</v>
      </c>
    </row>
    <row r="121" spans="1:7" x14ac:dyDescent="0.25">
      <c r="A121" t="s">
        <v>105</v>
      </c>
      <c r="B121" t="s">
        <v>244</v>
      </c>
      <c r="C121" t="s">
        <v>424</v>
      </c>
      <c r="D121" t="s">
        <v>146</v>
      </c>
      <c r="E121" t="s">
        <v>181</v>
      </c>
      <c r="F121" t="s">
        <v>182</v>
      </c>
      <c r="G121" t="s">
        <v>199</v>
      </c>
    </row>
    <row r="122" spans="1:7" x14ac:dyDescent="0.25">
      <c r="A122" t="s">
        <v>90</v>
      </c>
      <c r="B122" t="s">
        <v>263</v>
      </c>
      <c r="C122" t="s">
        <v>443</v>
      </c>
      <c r="D122" t="s">
        <v>152</v>
      </c>
      <c r="E122" t="s">
        <v>305</v>
      </c>
      <c r="F122" t="s">
        <v>271</v>
      </c>
      <c r="G122" t="s">
        <v>667</v>
      </c>
    </row>
    <row r="123" spans="1:7" x14ac:dyDescent="0.25">
      <c r="A123" t="s">
        <v>480</v>
      </c>
      <c r="B123" t="s">
        <v>480</v>
      </c>
      <c r="C123" t="s">
        <v>480</v>
      </c>
      <c r="D123" t="s">
        <v>148</v>
      </c>
      <c r="E123" t="s">
        <v>460</v>
      </c>
      <c r="F123" t="s">
        <v>460</v>
      </c>
      <c r="G123" t="s">
        <v>648</v>
      </c>
    </row>
    <row r="124" spans="1:7" x14ac:dyDescent="0.25">
      <c r="A124" t="s">
        <v>509</v>
      </c>
      <c r="B124" t="s">
        <v>509</v>
      </c>
      <c r="C124" t="s">
        <v>509</v>
      </c>
      <c r="D124" t="s">
        <v>152</v>
      </c>
      <c r="E124" t="s">
        <v>460</v>
      </c>
      <c r="F124" t="s">
        <v>460</v>
      </c>
      <c r="G124" t="s">
        <v>648</v>
      </c>
    </row>
    <row r="125" spans="1:7" x14ac:dyDescent="0.25">
      <c r="A125" t="s">
        <v>88</v>
      </c>
      <c r="B125" t="s">
        <v>231</v>
      </c>
      <c r="C125" t="s">
        <v>411</v>
      </c>
      <c r="D125" t="s">
        <v>153</v>
      </c>
      <c r="E125" t="s">
        <v>181</v>
      </c>
      <c r="F125" t="s">
        <v>182</v>
      </c>
      <c r="G125" t="s">
        <v>195</v>
      </c>
    </row>
    <row r="126" spans="1:7" x14ac:dyDescent="0.25">
      <c r="A126" t="s">
        <v>6</v>
      </c>
      <c r="B126" t="s">
        <v>191</v>
      </c>
      <c r="C126" t="s">
        <v>377</v>
      </c>
      <c r="D126" t="s">
        <v>148</v>
      </c>
      <c r="E126" t="s">
        <v>181</v>
      </c>
      <c r="F126" t="s">
        <v>182</v>
      </c>
      <c r="G126" t="s">
        <v>190</v>
      </c>
    </row>
    <row r="127" spans="1:7" x14ac:dyDescent="0.25">
      <c r="A127" t="s">
        <v>525</v>
      </c>
      <c r="B127" t="s">
        <v>523</v>
      </c>
      <c r="C127" t="s">
        <v>524</v>
      </c>
      <c r="D127" t="s">
        <v>152</v>
      </c>
      <c r="E127" t="s">
        <v>181</v>
      </c>
      <c r="F127" t="s">
        <v>182</v>
      </c>
      <c r="G127" t="s">
        <v>212</v>
      </c>
    </row>
    <row r="128" spans="1:7" x14ac:dyDescent="0.25">
      <c r="A128" t="s">
        <v>23</v>
      </c>
      <c r="B128" t="s">
        <v>211</v>
      </c>
      <c r="C128" t="s">
        <v>393</v>
      </c>
      <c r="D128" t="s">
        <v>152</v>
      </c>
      <c r="E128" t="s">
        <v>181</v>
      </c>
      <c r="F128" t="s">
        <v>182</v>
      </c>
      <c r="G128" t="s">
        <v>212</v>
      </c>
    </row>
    <row r="129" spans="1:8" x14ac:dyDescent="0.25">
      <c r="A129" t="s">
        <v>527</v>
      </c>
      <c r="B129" t="s">
        <v>553</v>
      </c>
      <c r="C129" t="s">
        <v>554</v>
      </c>
      <c r="D129" t="s">
        <v>152</v>
      </c>
      <c r="E129" t="s">
        <v>305</v>
      </c>
      <c r="F129" t="s">
        <v>273</v>
      </c>
      <c r="G129" t="s">
        <v>675</v>
      </c>
    </row>
    <row r="130" spans="1:8" x14ac:dyDescent="0.25">
      <c r="A130" t="s">
        <v>530</v>
      </c>
      <c r="B130" t="s">
        <v>566</v>
      </c>
      <c r="C130" t="s">
        <v>567</v>
      </c>
      <c r="D130" t="s">
        <v>152</v>
      </c>
      <c r="E130" t="s">
        <v>305</v>
      </c>
      <c r="F130" t="s">
        <v>273</v>
      </c>
      <c r="G130" t="s">
        <v>670</v>
      </c>
    </row>
    <row r="131" spans="1:8" x14ac:dyDescent="0.25">
      <c r="A131" t="s">
        <v>522</v>
      </c>
      <c r="B131" t="s">
        <v>519</v>
      </c>
      <c r="C131" t="s">
        <v>520</v>
      </c>
      <c r="D131" t="s">
        <v>152</v>
      </c>
      <c r="E131" t="s">
        <v>305</v>
      </c>
      <c r="F131" t="s">
        <v>273</v>
      </c>
      <c r="G131" t="s">
        <v>676</v>
      </c>
    </row>
    <row r="132" spans="1:8" x14ac:dyDescent="0.25">
      <c r="A132" t="s">
        <v>106</v>
      </c>
      <c r="B132" t="s">
        <v>292</v>
      </c>
      <c r="C132" t="s">
        <v>293</v>
      </c>
      <c r="D132" t="s">
        <v>146</v>
      </c>
      <c r="E132" t="s">
        <v>181</v>
      </c>
      <c r="F132" t="s">
        <v>273</v>
      </c>
      <c r="G132" t="s">
        <v>652</v>
      </c>
    </row>
    <row r="133" spans="1:8" x14ac:dyDescent="0.25">
      <c r="A133" t="s">
        <v>545</v>
      </c>
      <c r="B133" t="s">
        <v>580</v>
      </c>
      <c r="C133" t="s">
        <v>581</v>
      </c>
      <c r="D133" t="s">
        <v>152</v>
      </c>
      <c r="E133" t="s">
        <v>181</v>
      </c>
      <c r="F133" t="s">
        <v>273</v>
      </c>
      <c r="G133" t="s">
        <v>654</v>
      </c>
    </row>
    <row r="134" spans="1:8" x14ac:dyDescent="0.25">
      <c r="A134" t="s">
        <v>108</v>
      </c>
      <c r="B134" t="s">
        <v>294</v>
      </c>
      <c r="C134" t="s">
        <v>295</v>
      </c>
      <c r="D134" t="s">
        <v>146</v>
      </c>
      <c r="E134" t="s">
        <v>181</v>
      </c>
      <c r="F134" t="s">
        <v>273</v>
      </c>
      <c r="G134" t="s">
        <v>655</v>
      </c>
    </row>
    <row r="135" spans="1:8" x14ac:dyDescent="0.25">
      <c r="A135" t="s">
        <v>45</v>
      </c>
      <c r="B135" t="s">
        <v>313</v>
      </c>
      <c r="C135" t="s">
        <v>314</v>
      </c>
      <c r="D135" t="s">
        <v>152</v>
      </c>
      <c r="E135" t="s">
        <v>305</v>
      </c>
      <c r="F135" t="s">
        <v>273</v>
      </c>
      <c r="G135" t="s">
        <v>677</v>
      </c>
    </row>
    <row r="136" spans="1:8" x14ac:dyDescent="0.25">
      <c r="A136" t="s">
        <v>39</v>
      </c>
      <c r="B136" t="s">
        <v>277</v>
      </c>
      <c r="C136" t="s">
        <v>278</v>
      </c>
      <c r="D136" t="s">
        <v>166</v>
      </c>
      <c r="E136" t="s">
        <v>181</v>
      </c>
      <c r="F136" t="s">
        <v>273</v>
      </c>
      <c r="G136" t="s">
        <v>306</v>
      </c>
    </row>
    <row r="137" spans="1:8" x14ac:dyDescent="0.25">
      <c r="A137" t="s">
        <v>535</v>
      </c>
      <c r="B137" t="s">
        <v>571</v>
      </c>
      <c r="C137" t="s">
        <v>284</v>
      </c>
      <c r="D137" t="s">
        <v>146</v>
      </c>
      <c r="E137" t="s">
        <v>181</v>
      </c>
      <c r="F137" t="s">
        <v>273</v>
      </c>
      <c r="G137" t="s">
        <v>656</v>
      </c>
    </row>
    <row r="138" spans="1:8" x14ac:dyDescent="0.25">
      <c r="A138" t="s">
        <v>46</v>
      </c>
      <c r="B138" t="s">
        <v>283</v>
      </c>
      <c r="C138" t="s">
        <v>572</v>
      </c>
      <c r="D138" t="s">
        <v>146</v>
      </c>
      <c r="E138" t="s">
        <v>181</v>
      </c>
      <c r="F138" t="s">
        <v>273</v>
      </c>
      <c r="G138" t="s">
        <v>657</v>
      </c>
    </row>
    <row r="139" spans="1:8" x14ac:dyDescent="0.25">
      <c r="A139" t="s">
        <v>40</v>
      </c>
      <c r="B139" t="s">
        <v>279</v>
      </c>
      <c r="C139" t="s">
        <v>280</v>
      </c>
      <c r="D139" t="s">
        <v>166</v>
      </c>
      <c r="E139" t="s">
        <v>181</v>
      </c>
      <c r="F139" t="s">
        <v>273</v>
      </c>
      <c r="G139" t="s">
        <v>660</v>
      </c>
    </row>
    <row r="140" spans="1:8" x14ac:dyDescent="0.25">
      <c r="A140" t="s">
        <v>41</v>
      </c>
      <c r="B140" t="s">
        <v>638</v>
      </c>
      <c r="C140" t="s">
        <v>308</v>
      </c>
      <c r="D140" t="s">
        <v>152</v>
      </c>
      <c r="E140" t="s">
        <v>305</v>
      </c>
      <c r="F140" t="s">
        <v>273</v>
      </c>
      <c r="G140" t="s">
        <v>678</v>
      </c>
    </row>
    <row r="141" spans="1:8" x14ac:dyDescent="0.25">
      <c r="A141" t="s">
        <v>42</v>
      </c>
      <c r="B141" t="s">
        <v>309</v>
      </c>
      <c r="C141" t="s">
        <v>310</v>
      </c>
      <c r="D141" t="s">
        <v>166</v>
      </c>
      <c r="E141" t="s">
        <v>305</v>
      </c>
      <c r="F141" t="s">
        <v>273</v>
      </c>
      <c r="G141" t="s">
        <v>679</v>
      </c>
    </row>
    <row r="142" spans="1:8" x14ac:dyDescent="0.25">
      <c r="A142" t="s">
        <v>107</v>
      </c>
      <c r="B142" t="s">
        <v>341</v>
      </c>
      <c r="C142" t="s">
        <v>342</v>
      </c>
      <c r="D142" t="s">
        <v>146</v>
      </c>
      <c r="E142" t="s">
        <v>305</v>
      </c>
      <c r="F142" t="s">
        <v>273</v>
      </c>
      <c r="G142" t="s">
        <v>680</v>
      </c>
    </row>
    <row r="143" spans="1:8" x14ac:dyDescent="0.25">
      <c r="A143" t="s">
        <v>51</v>
      </c>
      <c r="B143" t="s">
        <v>321</v>
      </c>
      <c r="C143" t="s">
        <v>322</v>
      </c>
      <c r="D143" t="s">
        <v>152</v>
      </c>
      <c r="E143" t="s">
        <v>305</v>
      </c>
      <c r="F143" t="s">
        <v>273</v>
      </c>
      <c r="G143" t="s">
        <v>681</v>
      </c>
    </row>
    <row r="144" spans="1:8" x14ac:dyDescent="0.25">
      <c r="A144" t="s">
        <v>110</v>
      </c>
      <c r="B144" t="s">
        <v>298</v>
      </c>
      <c r="C144" t="s">
        <v>299</v>
      </c>
      <c r="D144" t="s">
        <v>146</v>
      </c>
      <c r="E144" t="s">
        <v>181</v>
      </c>
      <c r="F144" t="s">
        <v>273</v>
      </c>
      <c r="G144" t="s">
        <v>658</v>
      </c>
      <c r="H144" t="s">
        <v>368</v>
      </c>
    </row>
    <row r="145" spans="1:7" x14ac:dyDescent="0.25">
      <c r="A145" t="s">
        <v>43</v>
      </c>
      <c r="B145" t="s">
        <v>281</v>
      </c>
      <c r="C145" t="s">
        <v>282</v>
      </c>
      <c r="D145" t="s">
        <v>152</v>
      </c>
      <c r="E145" t="s">
        <v>181</v>
      </c>
      <c r="F145" t="s">
        <v>273</v>
      </c>
      <c r="G145" t="s">
        <v>659</v>
      </c>
    </row>
    <row r="146" spans="1:7" x14ac:dyDescent="0.25">
      <c r="A146" t="s">
        <v>109</v>
      </c>
      <c r="B146" t="s">
        <v>296</v>
      </c>
      <c r="C146" t="s">
        <v>297</v>
      </c>
      <c r="D146" t="s">
        <v>146</v>
      </c>
      <c r="E146" t="s">
        <v>181</v>
      </c>
      <c r="F146" t="s">
        <v>273</v>
      </c>
      <c r="G146" t="s">
        <v>655</v>
      </c>
    </row>
    <row r="147" spans="1:7" x14ac:dyDescent="0.25">
      <c r="A147" t="s">
        <v>44</v>
      </c>
      <c r="B147" t="s">
        <v>311</v>
      </c>
      <c r="C147" t="s">
        <v>312</v>
      </c>
      <c r="D147" t="s">
        <v>146</v>
      </c>
      <c r="E147" t="s">
        <v>305</v>
      </c>
      <c r="F147" t="s">
        <v>273</v>
      </c>
      <c r="G147" t="s">
        <v>682</v>
      </c>
    </row>
    <row r="148" spans="1:7" x14ac:dyDescent="0.25">
      <c r="A148" t="s">
        <v>521</v>
      </c>
      <c r="B148" t="s">
        <v>517</v>
      </c>
      <c r="C148" t="s">
        <v>518</v>
      </c>
      <c r="D148" t="s">
        <v>152</v>
      </c>
      <c r="E148" t="s">
        <v>305</v>
      </c>
      <c r="F148" t="s">
        <v>273</v>
      </c>
      <c r="G148" t="s">
        <v>683</v>
      </c>
    </row>
    <row r="149" spans="1:7" x14ac:dyDescent="0.25">
      <c r="A149" t="s">
        <v>69</v>
      </c>
      <c r="B149" t="s">
        <v>557</v>
      </c>
      <c r="C149" t="s">
        <v>343</v>
      </c>
      <c r="D149" t="s">
        <v>152</v>
      </c>
      <c r="E149" t="s">
        <v>346</v>
      </c>
      <c r="F149" t="s">
        <v>273</v>
      </c>
    </row>
    <row r="150" spans="1:7" x14ac:dyDescent="0.25">
      <c r="A150" t="s">
        <v>70</v>
      </c>
      <c r="B150" t="s">
        <v>558</v>
      </c>
      <c r="C150" t="s">
        <v>344</v>
      </c>
      <c r="D150" t="s">
        <v>166</v>
      </c>
      <c r="E150" t="s">
        <v>346</v>
      </c>
      <c r="F150" t="s">
        <v>273</v>
      </c>
    </row>
    <row r="151" spans="1:7" x14ac:dyDescent="0.25">
      <c r="A151" t="s">
        <v>71</v>
      </c>
      <c r="B151" t="s">
        <v>559</v>
      </c>
      <c r="C151" t="s">
        <v>345</v>
      </c>
      <c r="D151" t="s">
        <v>146</v>
      </c>
      <c r="E151" t="s">
        <v>346</v>
      </c>
      <c r="F151" t="s">
        <v>273</v>
      </c>
    </row>
    <row r="152" spans="1:7" x14ac:dyDescent="0.25">
      <c r="A152" t="s">
        <v>38</v>
      </c>
      <c r="B152" t="s">
        <v>224</v>
      </c>
      <c r="C152" t="s">
        <v>404</v>
      </c>
      <c r="D152" t="s">
        <v>152</v>
      </c>
      <c r="E152" t="s">
        <v>181</v>
      </c>
      <c r="F152" t="s">
        <v>182</v>
      </c>
      <c r="G152" t="s">
        <v>197</v>
      </c>
    </row>
    <row r="153" spans="1:7" x14ac:dyDescent="0.25">
      <c r="A153" t="s">
        <v>82</v>
      </c>
      <c r="B153" t="s">
        <v>229</v>
      </c>
      <c r="C153" t="s">
        <v>409</v>
      </c>
      <c r="D153" t="s">
        <v>152</v>
      </c>
      <c r="E153" t="s">
        <v>181</v>
      </c>
      <c r="F153" t="s">
        <v>182</v>
      </c>
      <c r="G153" t="s">
        <v>197</v>
      </c>
    </row>
    <row r="154" spans="1:7" x14ac:dyDescent="0.25">
      <c r="A154" t="s">
        <v>543</v>
      </c>
      <c r="B154" t="s">
        <v>564</v>
      </c>
      <c r="C154" t="s">
        <v>577</v>
      </c>
      <c r="D154" t="s">
        <v>152</v>
      </c>
      <c r="E154" t="s">
        <v>305</v>
      </c>
      <c r="F154" t="s">
        <v>565</v>
      </c>
      <c r="G154" t="s">
        <v>671</v>
      </c>
    </row>
    <row r="155" spans="1:7" x14ac:dyDescent="0.25">
      <c r="A155" t="s">
        <v>111</v>
      </c>
      <c r="B155" t="s">
        <v>245</v>
      </c>
      <c r="C155" t="s">
        <v>425</v>
      </c>
      <c r="D155" t="s">
        <v>146</v>
      </c>
      <c r="E155" t="s">
        <v>181</v>
      </c>
      <c r="F155" t="s">
        <v>182</v>
      </c>
      <c r="G155" t="s">
        <v>195</v>
      </c>
    </row>
    <row r="156" spans="1:7" x14ac:dyDescent="0.25">
      <c r="A156" t="s">
        <v>506</v>
      </c>
      <c r="B156" t="s">
        <v>507</v>
      </c>
      <c r="C156" t="s">
        <v>508</v>
      </c>
      <c r="D156" t="s">
        <v>152</v>
      </c>
      <c r="E156" t="s">
        <v>357</v>
      </c>
      <c r="F156" t="s">
        <v>273</v>
      </c>
      <c r="G156" t="s">
        <v>684</v>
      </c>
    </row>
    <row r="157" spans="1:7" x14ac:dyDescent="0.25">
      <c r="A157" t="s">
        <v>35</v>
      </c>
      <c r="B157" t="s">
        <v>275</v>
      </c>
      <c r="C157" t="s">
        <v>276</v>
      </c>
      <c r="D157" t="s">
        <v>166</v>
      </c>
      <c r="E157" t="s">
        <v>181</v>
      </c>
      <c r="F157" t="s">
        <v>273</v>
      </c>
      <c r="G157" t="s">
        <v>661</v>
      </c>
    </row>
    <row r="158" spans="1:7" x14ac:dyDescent="0.25">
      <c r="A158" t="s">
        <v>128</v>
      </c>
      <c r="B158" t="s">
        <v>616</v>
      </c>
      <c r="C158" t="s">
        <v>160</v>
      </c>
      <c r="D158" t="s">
        <v>152</v>
      </c>
      <c r="E158" t="s">
        <v>357</v>
      </c>
      <c r="F158" t="s">
        <v>273</v>
      </c>
      <c r="G158" t="s">
        <v>698</v>
      </c>
    </row>
    <row r="159" spans="1:7" x14ac:dyDescent="0.25">
      <c r="A159" t="s">
        <v>129</v>
      </c>
      <c r="B159" t="s">
        <v>617</v>
      </c>
      <c r="C159" t="s">
        <v>158</v>
      </c>
      <c r="D159" t="s">
        <v>152</v>
      </c>
      <c r="E159" t="s">
        <v>357</v>
      </c>
      <c r="F159" t="s">
        <v>273</v>
      </c>
      <c r="G159" t="s">
        <v>698</v>
      </c>
    </row>
    <row r="160" spans="1:7" x14ac:dyDescent="0.25">
      <c r="A160" t="s">
        <v>130</v>
      </c>
      <c r="B160" t="s">
        <v>618</v>
      </c>
      <c r="C160" t="s">
        <v>159</v>
      </c>
      <c r="D160" t="s">
        <v>152</v>
      </c>
      <c r="E160" t="s">
        <v>357</v>
      </c>
      <c r="F160" t="s">
        <v>273</v>
      </c>
      <c r="G160" t="s">
        <v>698</v>
      </c>
    </row>
    <row r="161" spans="1:7" x14ac:dyDescent="0.25">
      <c r="A161" t="s">
        <v>112</v>
      </c>
      <c r="B161" t="s">
        <v>246</v>
      </c>
      <c r="C161" t="s">
        <v>426</v>
      </c>
      <c r="D161" t="s">
        <v>146</v>
      </c>
      <c r="E161" t="s">
        <v>181</v>
      </c>
      <c r="F161" t="s">
        <v>182</v>
      </c>
      <c r="G161" t="s">
        <v>183</v>
      </c>
    </row>
    <row r="162" spans="1:7" x14ac:dyDescent="0.25">
      <c r="A162" t="s">
        <v>9</v>
      </c>
      <c r="B162" t="s">
        <v>194</v>
      </c>
      <c r="C162" t="s">
        <v>380</v>
      </c>
      <c r="D162" t="s">
        <v>148</v>
      </c>
      <c r="E162" t="s">
        <v>181</v>
      </c>
      <c r="F162" t="s">
        <v>182</v>
      </c>
      <c r="G162" t="s">
        <v>205</v>
      </c>
    </row>
    <row r="163" spans="1:7" x14ac:dyDescent="0.25">
      <c r="A163" t="s">
        <v>68</v>
      </c>
      <c r="B163" t="s">
        <v>336</v>
      </c>
      <c r="C163" t="s">
        <v>337</v>
      </c>
      <c r="D163" t="s">
        <v>152</v>
      </c>
      <c r="E163" t="s">
        <v>305</v>
      </c>
      <c r="F163" t="s">
        <v>273</v>
      </c>
      <c r="G163" t="s">
        <v>685</v>
      </c>
    </row>
    <row r="164" spans="1:7" x14ac:dyDescent="0.25">
      <c r="A164" t="s">
        <v>79</v>
      </c>
      <c r="B164" t="s">
        <v>226</v>
      </c>
      <c r="C164" t="s">
        <v>406</v>
      </c>
      <c r="D164" t="s">
        <v>146</v>
      </c>
      <c r="E164" t="s">
        <v>181</v>
      </c>
      <c r="F164" t="s">
        <v>182</v>
      </c>
      <c r="G164" t="s">
        <v>190</v>
      </c>
    </row>
    <row r="165" spans="1:7" x14ac:dyDescent="0.25">
      <c r="A165" t="s">
        <v>64</v>
      </c>
      <c r="B165" t="s">
        <v>288</v>
      </c>
      <c r="C165" t="s">
        <v>289</v>
      </c>
      <c r="D165" t="s">
        <v>166</v>
      </c>
      <c r="E165" t="s">
        <v>181</v>
      </c>
      <c r="F165" t="s">
        <v>273</v>
      </c>
      <c r="G165" t="s">
        <v>662</v>
      </c>
    </row>
    <row r="166" spans="1:7" x14ac:dyDescent="0.25">
      <c r="A166" t="s">
        <v>134</v>
      </c>
      <c r="B166" t="s">
        <v>621</v>
      </c>
      <c r="C166" t="s">
        <v>162</v>
      </c>
      <c r="D166" t="s">
        <v>146</v>
      </c>
      <c r="E166" t="s">
        <v>357</v>
      </c>
      <c r="F166" t="s">
        <v>273</v>
      </c>
      <c r="G166" t="s">
        <v>698</v>
      </c>
    </row>
    <row r="167" spans="1:7" x14ac:dyDescent="0.25">
      <c r="A167" t="s">
        <v>16</v>
      </c>
      <c r="B167" t="s">
        <v>204</v>
      </c>
      <c r="C167" t="s">
        <v>387</v>
      </c>
      <c r="D167" t="s">
        <v>152</v>
      </c>
      <c r="E167" t="s">
        <v>181</v>
      </c>
      <c r="F167" t="s">
        <v>182</v>
      </c>
      <c r="G167" t="s">
        <v>205</v>
      </c>
    </row>
    <row r="168" spans="1:7" x14ac:dyDescent="0.25">
      <c r="A168" t="s">
        <v>113</v>
      </c>
      <c r="B168" t="s">
        <v>247</v>
      </c>
      <c r="C168" t="s">
        <v>427</v>
      </c>
      <c r="D168" t="s">
        <v>146</v>
      </c>
      <c r="E168" t="s">
        <v>181</v>
      </c>
      <c r="F168" t="s">
        <v>182</v>
      </c>
      <c r="G168" t="s">
        <v>187</v>
      </c>
    </row>
    <row r="169" spans="1:7" x14ac:dyDescent="0.25">
      <c r="A169" t="s">
        <v>114</v>
      </c>
      <c r="B169" t="s">
        <v>248</v>
      </c>
      <c r="C169" t="s">
        <v>428</v>
      </c>
      <c r="D169" t="s">
        <v>146</v>
      </c>
      <c r="E169" t="s">
        <v>181</v>
      </c>
      <c r="F169" t="s">
        <v>182</v>
      </c>
      <c r="G169" t="s">
        <v>195</v>
      </c>
    </row>
    <row r="170" spans="1:7" x14ac:dyDescent="0.25">
      <c r="A170" t="s">
        <v>53</v>
      </c>
      <c r="B170" t="s">
        <v>510</v>
      </c>
      <c r="C170" t="s">
        <v>359</v>
      </c>
      <c r="D170" t="s">
        <v>148</v>
      </c>
      <c r="E170" t="s">
        <v>357</v>
      </c>
      <c r="F170" t="s">
        <v>273</v>
      </c>
      <c r="G170" t="s">
        <v>696</v>
      </c>
    </row>
    <row r="171" spans="1:7" x14ac:dyDescent="0.25">
      <c r="A171" t="s">
        <v>52</v>
      </c>
      <c r="B171" t="s">
        <v>356</v>
      </c>
      <c r="C171" t="s">
        <v>358</v>
      </c>
      <c r="D171" t="s">
        <v>152</v>
      </c>
      <c r="E171" t="s">
        <v>357</v>
      </c>
      <c r="F171" t="s">
        <v>273</v>
      </c>
      <c r="G171" t="s">
        <v>696</v>
      </c>
    </row>
    <row r="172" spans="1:7" x14ac:dyDescent="0.25">
      <c r="A172" t="s">
        <v>531</v>
      </c>
      <c r="B172" t="s">
        <v>568</v>
      </c>
      <c r="C172" t="s">
        <v>587</v>
      </c>
      <c r="D172" t="s">
        <v>146</v>
      </c>
      <c r="E172" t="s">
        <v>357</v>
      </c>
      <c r="F172" t="s">
        <v>273</v>
      </c>
      <c r="G172" t="s">
        <v>696</v>
      </c>
    </row>
    <row r="173" spans="1:7" x14ac:dyDescent="0.25">
      <c r="A173" t="s">
        <v>115</v>
      </c>
      <c r="B173" t="s">
        <v>249</v>
      </c>
      <c r="C173" t="s">
        <v>429</v>
      </c>
      <c r="D173" t="s">
        <v>146</v>
      </c>
      <c r="E173" t="s">
        <v>181</v>
      </c>
      <c r="F173" t="s">
        <v>182</v>
      </c>
      <c r="G173" t="s">
        <v>199</v>
      </c>
    </row>
    <row r="174" spans="1:7" x14ac:dyDescent="0.25">
      <c r="A174" t="s">
        <v>544</v>
      </c>
      <c r="B174" t="s">
        <v>578</v>
      </c>
      <c r="C174" t="s">
        <v>640</v>
      </c>
      <c r="D174" t="s">
        <v>152</v>
      </c>
      <c r="E174" t="s">
        <v>305</v>
      </c>
      <c r="F174" t="s">
        <v>273</v>
      </c>
      <c r="G174" t="s">
        <v>579</v>
      </c>
    </row>
    <row r="175" spans="1:7" x14ac:dyDescent="0.25">
      <c r="A175" t="s">
        <v>536</v>
      </c>
      <c r="B175" t="s">
        <v>573</v>
      </c>
      <c r="C175" t="s">
        <v>641</v>
      </c>
      <c r="D175" t="s">
        <v>152</v>
      </c>
      <c r="E175" t="s">
        <v>305</v>
      </c>
      <c r="F175" t="s">
        <v>273</v>
      </c>
      <c r="G175" t="s">
        <v>687</v>
      </c>
    </row>
    <row r="176" spans="1:7" x14ac:dyDescent="0.25">
      <c r="A176" t="s">
        <v>89</v>
      </c>
      <c r="B176" t="s">
        <v>262</v>
      </c>
      <c r="C176" t="s">
        <v>442</v>
      </c>
      <c r="D176" t="s">
        <v>152</v>
      </c>
      <c r="E176" t="s">
        <v>305</v>
      </c>
      <c r="F176" t="s">
        <v>271</v>
      </c>
      <c r="G176" t="s">
        <v>667</v>
      </c>
    </row>
    <row r="177" spans="1:7" x14ac:dyDescent="0.25">
      <c r="A177" t="s">
        <v>49</v>
      </c>
      <c r="B177" t="s">
        <v>318</v>
      </c>
      <c r="C177" t="s">
        <v>319</v>
      </c>
      <c r="D177" t="s">
        <v>152</v>
      </c>
      <c r="E177" t="s">
        <v>305</v>
      </c>
      <c r="F177" t="s">
        <v>273</v>
      </c>
      <c r="G177" t="s">
        <v>688</v>
      </c>
    </row>
    <row r="178" spans="1:7" x14ac:dyDescent="0.25">
      <c r="A178" t="s">
        <v>56</v>
      </c>
      <c r="B178" t="s">
        <v>515</v>
      </c>
      <c r="C178" t="s">
        <v>324</v>
      </c>
      <c r="D178" t="s">
        <v>152</v>
      </c>
      <c r="E178" t="s">
        <v>305</v>
      </c>
      <c r="F178" t="s">
        <v>273</v>
      </c>
      <c r="G178" t="s">
        <v>689</v>
      </c>
    </row>
    <row r="179" spans="1:7" x14ac:dyDescent="0.25">
      <c r="A179" t="s">
        <v>55</v>
      </c>
      <c r="B179" t="s">
        <v>514</v>
      </c>
      <c r="C179" t="s">
        <v>323</v>
      </c>
      <c r="D179" t="s">
        <v>152</v>
      </c>
      <c r="E179" t="s">
        <v>305</v>
      </c>
      <c r="F179" t="s">
        <v>273</v>
      </c>
      <c r="G179" t="s">
        <v>689</v>
      </c>
    </row>
    <row r="180" spans="1:7" x14ac:dyDescent="0.25">
      <c r="A180" t="s">
        <v>526</v>
      </c>
      <c r="B180" t="s">
        <v>551</v>
      </c>
      <c r="C180" t="s">
        <v>552</v>
      </c>
      <c r="D180" t="s">
        <v>152</v>
      </c>
      <c r="E180" t="s">
        <v>305</v>
      </c>
      <c r="F180" t="s">
        <v>273</v>
      </c>
      <c r="G180" t="s">
        <v>690</v>
      </c>
    </row>
    <row r="181" spans="1:7" x14ac:dyDescent="0.25">
      <c r="A181" t="s">
        <v>54</v>
      </c>
      <c r="B181" t="s">
        <v>360</v>
      </c>
      <c r="C181" t="s">
        <v>361</v>
      </c>
      <c r="D181" t="s">
        <v>152</v>
      </c>
      <c r="E181" t="s">
        <v>357</v>
      </c>
      <c r="F181" t="s">
        <v>273</v>
      </c>
      <c r="G181" t="s">
        <v>684</v>
      </c>
    </row>
    <row r="182" spans="1:7" x14ac:dyDescent="0.25">
      <c r="A182" t="s">
        <v>48</v>
      </c>
      <c r="B182" t="s">
        <v>513</v>
      </c>
      <c r="C182" t="s">
        <v>317</v>
      </c>
      <c r="D182" t="s">
        <v>152</v>
      </c>
      <c r="E182" t="s">
        <v>305</v>
      </c>
      <c r="F182" t="s">
        <v>273</v>
      </c>
      <c r="G182" t="s">
        <v>691</v>
      </c>
    </row>
    <row r="183" spans="1:7" x14ac:dyDescent="0.25">
      <c r="A183" t="s">
        <v>50</v>
      </c>
      <c r="B183" t="s">
        <v>315</v>
      </c>
      <c r="C183" t="s">
        <v>320</v>
      </c>
      <c r="D183" t="s">
        <v>152</v>
      </c>
      <c r="E183" t="s">
        <v>305</v>
      </c>
      <c r="F183" t="s">
        <v>273</v>
      </c>
      <c r="G183" t="s">
        <v>691</v>
      </c>
    </row>
    <row r="184" spans="1:7" x14ac:dyDescent="0.25">
      <c r="A184" t="s">
        <v>47</v>
      </c>
      <c r="B184" t="s">
        <v>512</v>
      </c>
      <c r="C184" t="s">
        <v>316</v>
      </c>
      <c r="D184" t="s">
        <v>166</v>
      </c>
      <c r="E184" t="s">
        <v>305</v>
      </c>
      <c r="F184" t="s">
        <v>273</v>
      </c>
      <c r="G184" t="s">
        <v>691</v>
      </c>
    </row>
    <row r="185" spans="1:7" x14ac:dyDescent="0.25">
      <c r="A185" t="s">
        <v>84</v>
      </c>
      <c r="B185" t="s">
        <v>258</v>
      </c>
      <c r="C185" t="s">
        <v>438</v>
      </c>
      <c r="D185" t="s">
        <v>152</v>
      </c>
      <c r="E185" t="s">
        <v>305</v>
      </c>
      <c r="F185" t="s">
        <v>271</v>
      </c>
      <c r="G185" t="s">
        <v>667</v>
      </c>
    </row>
    <row r="186" spans="1:7" x14ac:dyDescent="0.25">
      <c r="A186" t="s">
        <v>10</v>
      </c>
      <c r="B186" t="s">
        <v>196</v>
      </c>
      <c r="C186" t="s">
        <v>381</v>
      </c>
      <c r="D186" t="s">
        <v>148</v>
      </c>
      <c r="E186" t="s">
        <v>181</v>
      </c>
      <c r="F186" t="s">
        <v>182</v>
      </c>
      <c r="G186" t="s">
        <v>197</v>
      </c>
    </row>
    <row r="187" spans="1:7" x14ac:dyDescent="0.25">
      <c r="A187" t="s">
        <v>533</v>
      </c>
      <c r="B187" t="s">
        <v>562</v>
      </c>
      <c r="C187" t="s">
        <v>570</v>
      </c>
      <c r="D187" t="s">
        <v>152</v>
      </c>
      <c r="E187" t="s">
        <v>305</v>
      </c>
      <c r="F187" t="s">
        <v>565</v>
      </c>
      <c r="G187" t="s">
        <v>672</v>
      </c>
    </row>
    <row r="188" spans="1:7" x14ac:dyDescent="0.25">
      <c r="A188" t="s">
        <v>116</v>
      </c>
      <c r="B188" t="s">
        <v>250</v>
      </c>
      <c r="C188" t="s">
        <v>430</v>
      </c>
      <c r="D188" t="s">
        <v>146</v>
      </c>
      <c r="E188" t="s">
        <v>181</v>
      </c>
      <c r="F188" t="s">
        <v>182</v>
      </c>
      <c r="G188" t="s">
        <v>183</v>
      </c>
    </row>
    <row r="189" spans="1:7" x14ac:dyDescent="0.25">
      <c r="A189" t="s">
        <v>3</v>
      </c>
      <c r="B189" t="s">
        <v>186</v>
      </c>
      <c r="C189" t="s">
        <v>374</v>
      </c>
      <c r="D189" t="s">
        <v>148</v>
      </c>
      <c r="E189" t="s">
        <v>181</v>
      </c>
      <c r="F189" t="s">
        <v>182</v>
      </c>
      <c r="G189" t="s">
        <v>187</v>
      </c>
    </row>
    <row r="190" spans="1:7" x14ac:dyDescent="0.25">
      <c r="A190" t="s">
        <v>20</v>
      </c>
      <c r="B190" t="s">
        <v>208</v>
      </c>
      <c r="C190" t="s">
        <v>390</v>
      </c>
      <c r="D190" t="s">
        <v>209</v>
      </c>
      <c r="E190" t="s">
        <v>181</v>
      </c>
      <c r="F190" t="s">
        <v>182</v>
      </c>
      <c r="G190" t="s">
        <v>187</v>
      </c>
    </row>
    <row r="191" spans="1:7" x14ac:dyDescent="0.25">
      <c r="A191" t="s">
        <v>92</v>
      </c>
      <c r="B191" t="s">
        <v>265</v>
      </c>
      <c r="C191" t="s">
        <v>445</v>
      </c>
      <c r="D191" t="s">
        <v>152</v>
      </c>
      <c r="E191" t="s">
        <v>305</v>
      </c>
      <c r="F191" t="s">
        <v>271</v>
      </c>
      <c r="G191" t="s">
        <v>667</v>
      </c>
    </row>
    <row r="192" spans="1:7" x14ac:dyDescent="0.25">
      <c r="A192" t="s">
        <v>1</v>
      </c>
      <c r="B192" t="s">
        <v>184</v>
      </c>
      <c r="C192" t="s">
        <v>373</v>
      </c>
      <c r="D192" t="s">
        <v>152</v>
      </c>
      <c r="E192" t="s">
        <v>181</v>
      </c>
      <c r="F192" t="s">
        <v>182</v>
      </c>
      <c r="G192" t="s">
        <v>185</v>
      </c>
    </row>
    <row r="193" spans="1:8" x14ac:dyDescent="0.25">
      <c r="A193" t="s">
        <v>117</v>
      </c>
      <c r="B193" t="s">
        <v>251</v>
      </c>
      <c r="C193" t="s">
        <v>431</v>
      </c>
      <c r="D193" t="s">
        <v>146</v>
      </c>
      <c r="E193" t="s">
        <v>181</v>
      </c>
      <c r="F193" t="s">
        <v>182</v>
      </c>
      <c r="G193" t="s">
        <v>183</v>
      </c>
    </row>
    <row r="194" spans="1:8" x14ac:dyDescent="0.25">
      <c r="A194" t="s">
        <v>137</v>
      </c>
      <c r="B194" t="s">
        <v>624</v>
      </c>
      <c r="C194" t="s">
        <v>165</v>
      </c>
      <c r="D194" t="s">
        <v>146</v>
      </c>
      <c r="E194" t="s">
        <v>357</v>
      </c>
      <c r="F194" t="s">
        <v>273</v>
      </c>
      <c r="G194" t="s">
        <v>700</v>
      </c>
    </row>
    <row r="195" spans="1:8" x14ac:dyDescent="0.25">
      <c r="A195" t="s">
        <v>118</v>
      </c>
      <c r="B195" t="s">
        <v>252</v>
      </c>
      <c r="C195" t="s">
        <v>432</v>
      </c>
      <c r="D195" t="s">
        <v>146</v>
      </c>
      <c r="E195" t="s">
        <v>181</v>
      </c>
      <c r="F195" t="s">
        <v>182</v>
      </c>
      <c r="G195" t="s">
        <v>187</v>
      </c>
    </row>
    <row r="196" spans="1:8" x14ac:dyDescent="0.25">
      <c r="A196" t="s">
        <v>534</v>
      </c>
      <c r="B196" t="s">
        <v>589</v>
      </c>
      <c r="C196" t="s">
        <v>588</v>
      </c>
      <c r="D196" t="s">
        <v>146</v>
      </c>
      <c r="E196" t="s">
        <v>357</v>
      </c>
      <c r="F196" t="s">
        <v>273</v>
      </c>
      <c r="G196" t="s">
        <v>697</v>
      </c>
    </row>
    <row r="197" spans="1:8" x14ac:dyDescent="0.25">
      <c r="A197" t="s">
        <v>132</v>
      </c>
      <c r="B197" t="s">
        <v>454</v>
      </c>
      <c r="C197" t="s">
        <v>370</v>
      </c>
      <c r="D197" t="s">
        <v>148</v>
      </c>
      <c r="E197" t="s">
        <v>357</v>
      </c>
      <c r="F197" t="s">
        <v>273</v>
      </c>
      <c r="G197" t="s">
        <v>697</v>
      </c>
    </row>
    <row r="198" spans="1:8" x14ac:dyDescent="0.25">
      <c r="A198" t="s">
        <v>131</v>
      </c>
      <c r="B198" t="s">
        <v>453</v>
      </c>
      <c r="C198" t="s">
        <v>369</v>
      </c>
      <c r="D198" t="s">
        <v>152</v>
      </c>
      <c r="E198" t="s">
        <v>357</v>
      </c>
      <c r="F198" t="s">
        <v>273</v>
      </c>
      <c r="G198" t="s">
        <v>697</v>
      </c>
    </row>
    <row r="199" spans="1:8" x14ac:dyDescent="0.25">
      <c r="A199" t="s">
        <v>138</v>
      </c>
      <c r="B199" t="s">
        <v>164</v>
      </c>
      <c r="C199" t="s">
        <v>164</v>
      </c>
      <c r="D199" t="s">
        <v>166</v>
      </c>
      <c r="E199" t="s">
        <v>357</v>
      </c>
      <c r="F199" t="s">
        <v>273</v>
      </c>
      <c r="G199" t="s">
        <v>698</v>
      </c>
    </row>
    <row r="200" spans="1:8" x14ac:dyDescent="0.25">
      <c r="A200" t="s">
        <v>136</v>
      </c>
      <c r="B200" t="s">
        <v>623</v>
      </c>
      <c r="C200" t="s">
        <v>167</v>
      </c>
      <c r="D200" t="s">
        <v>166</v>
      </c>
      <c r="E200" t="s">
        <v>357</v>
      </c>
      <c r="F200" t="s">
        <v>273</v>
      </c>
      <c r="G200" t="s">
        <v>698</v>
      </c>
    </row>
    <row r="201" spans="1:8" x14ac:dyDescent="0.25">
      <c r="A201" t="s">
        <v>62</v>
      </c>
      <c r="B201" t="s">
        <v>285</v>
      </c>
      <c r="C201" t="s">
        <v>287</v>
      </c>
      <c r="D201" t="s">
        <v>152</v>
      </c>
      <c r="E201" t="s">
        <v>181</v>
      </c>
      <c r="F201" t="s">
        <v>273</v>
      </c>
      <c r="G201" t="s">
        <v>663</v>
      </c>
      <c r="H201" t="s">
        <v>368</v>
      </c>
    </row>
    <row r="202" spans="1:8" x14ac:dyDescent="0.25">
      <c r="A202" t="s">
        <v>119</v>
      </c>
      <c r="B202" t="s">
        <v>253</v>
      </c>
      <c r="C202" t="s">
        <v>433</v>
      </c>
      <c r="D202" t="s">
        <v>146</v>
      </c>
      <c r="E202" t="s">
        <v>181</v>
      </c>
      <c r="F202" t="s">
        <v>182</v>
      </c>
      <c r="G202" t="s">
        <v>195</v>
      </c>
      <c r="H202" t="s">
        <v>368</v>
      </c>
    </row>
    <row r="203" spans="1:8" x14ac:dyDescent="0.25">
      <c r="A203" t="s">
        <v>120</v>
      </c>
      <c r="B203" t="s">
        <v>254</v>
      </c>
      <c r="C203" t="s">
        <v>434</v>
      </c>
      <c r="D203" t="s">
        <v>146</v>
      </c>
      <c r="E203" t="s">
        <v>181</v>
      </c>
      <c r="F203" t="s">
        <v>182</v>
      </c>
      <c r="G203" t="s">
        <v>195</v>
      </c>
      <c r="H203" t="s">
        <v>368</v>
      </c>
    </row>
    <row r="204" spans="1:8" x14ac:dyDescent="0.25">
      <c r="A204" t="s">
        <v>548</v>
      </c>
      <c r="B204" t="s">
        <v>569</v>
      </c>
      <c r="C204" t="s">
        <v>584</v>
      </c>
      <c r="D204" t="s">
        <v>152</v>
      </c>
      <c r="E204" t="s">
        <v>305</v>
      </c>
      <c r="F204" t="s">
        <v>565</v>
      </c>
      <c r="G204" t="s">
        <v>671</v>
      </c>
      <c r="H204" t="s">
        <v>368</v>
      </c>
    </row>
    <row r="205" spans="1:8" x14ac:dyDescent="0.25">
      <c r="A205" t="s">
        <v>91</v>
      </c>
      <c r="B205" t="s">
        <v>264</v>
      </c>
      <c r="C205" t="s">
        <v>444</v>
      </c>
      <c r="D205" t="s">
        <v>152</v>
      </c>
      <c r="E205" t="s">
        <v>305</v>
      </c>
      <c r="F205" t="s">
        <v>271</v>
      </c>
      <c r="G205" t="s">
        <v>667</v>
      </c>
      <c r="H205" t="s">
        <v>368</v>
      </c>
    </row>
    <row r="206" spans="1:8" x14ac:dyDescent="0.25">
      <c r="A206" t="s">
        <v>4</v>
      </c>
      <c r="B206" t="s">
        <v>188</v>
      </c>
      <c r="C206" t="s">
        <v>375</v>
      </c>
      <c r="D206" t="s">
        <v>148</v>
      </c>
      <c r="E206" t="s">
        <v>181</v>
      </c>
      <c r="F206" t="s">
        <v>182</v>
      </c>
      <c r="G206" t="s">
        <v>187</v>
      </c>
      <c r="H206" t="s">
        <v>368</v>
      </c>
    </row>
    <row r="207" spans="1:8" x14ac:dyDescent="0.25">
      <c r="A207" t="s">
        <v>133</v>
      </c>
      <c r="B207" t="s">
        <v>620</v>
      </c>
      <c r="C207" t="s">
        <v>161</v>
      </c>
      <c r="D207" t="s">
        <v>146</v>
      </c>
      <c r="E207" t="s">
        <v>357</v>
      </c>
      <c r="F207" t="s">
        <v>273</v>
      </c>
      <c r="G207" t="s">
        <v>684</v>
      </c>
    </row>
    <row r="208" spans="1:8" x14ac:dyDescent="0.25">
      <c r="A208" t="s">
        <v>124</v>
      </c>
      <c r="B208" t="s">
        <v>255</v>
      </c>
      <c r="C208" t="s">
        <v>435</v>
      </c>
      <c r="D208" t="s">
        <v>146</v>
      </c>
      <c r="E208" t="s">
        <v>181</v>
      </c>
      <c r="F208" t="s">
        <v>182</v>
      </c>
      <c r="G208" t="s">
        <v>195</v>
      </c>
      <c r="H208" t="s">
        <v>368</v>
      </c>
    </row>
    <row r="209" spans="1:8" x14ac:dyDescent="0.25">
      <c r="A209" t="s">
        <v>74</v>
      </c>
      <c r="B209" t="s">
        <v>615</v>
      </c>
      <c r="C209" t="s">
        <v>147</v>
      </c>
      <c r="D209" t="s">
        <v>148</v>
      </c>
      <c r="E209" t="s">
        <v>357</v>
      </c>
      <c r="F209" t="s">
        <v>273</v>
      </c>
      <c r="G209" t="s">
        <v>699</v>
      </c>
      <c r="H209" t="s">
        <v>368</v>
      </c>
    </row>
    <row r="210" spans="1:8" x14ac:dyDescent="0.25">
      <c r="A210" t="s">
        <v>75</v>
      </c>
      <c r="B210" t="s">
        <v>340</v>
      </c>
      <c r="C210" t="s">
        <v>692</v>
      </c>
      <c r="D210" t="s">
        <v>152</v>
      </c>
      <c r="E210" t="s">
        <v>305</v>
      </c>
      <c r="F210" t="s">
        <v>273</v>
      </c>
      <c r="G210" t="s">
        <v>693</v>
      </c>
      <c r="H210" t="s">
        <v>368</v>
      </c>
    </row>
    <row r="211" spans="1:8" x14ac:dyDescent="0.25">
      <c r="A211" t="s">
        <v>85</v>
      </c>
      <c r="B211" t="s">
        <v>259</v>
      </c>
      <c r="C211" t="s">
        <v>439</v>
      </c>
      <c r="D211" t="s">
        <v>152</v>
      </c>
      <c r="E211" t="s">
        <v>305</v>
      </c>
      <c r="F211" t="s">
        <v>271</v>
      </c>
      <c r="G211" t="s">
        <v>667</v>
      </c>
      <c r="H211" t="s">
        <v>368</v>
      </c>
    </row>
    <row r="212" spans="1:8" x14ac:dyDescent="0.25">
      <c r="A212" t="s">
        <v>8</v>
      </c>
      <c r="B212" t="s">
        <v>193</v>
      </c>
      <c r="C212" t="s">
        <v>379</v>
      </c>
      <c r="D212" t="s">
        <v>148</v>
      </c>
      <c r="E212" t="s">
        <v>181</v>
      </c>
      <c r="F212" t="s">
        <v>182</v>
      </c>
      <c r="G212" t="s">
        <v>187</v>
      </c>
      <c r="H212" t="s">
        <v>368</v>
      </c>
    </row>
    <row r="213" spans="1:8" x14ac:dyDescent="0.25">
      <c r="A213" t="s">
        <v>122</v>
      </c>
      <c r="B213" t="s">
        <v>354</v>
      </c>
      <c r="C213" t="s">
        <v>355</v>
      </c>
      <c r="D213" t="s">
        <v>146</v>
      </c>
      <c r="E213" t="s">
        <v>348</v>
      </c>
      <c r="F213" t="s">
        <v>273</v>
      </c>
      <c r="G213" t="s">
        <v>650</v>
      </c>
      <c r="H213" t="s">
        <v>368</v>
      </c>
    </row>
    <row r="214" spans="1:8" x14ac:dyDescent="0.25">
      <c r="A214" t="s">
        <v>121</v>
      </c>
      <c r="B214" t="s">
        <v>300</v>
      </c>
      <c r="C214" t="s">
        <v>301</v>
      </c>
      <c r="D214" t="s">
        <v>146</v>
      </c>
      <c r="E214" t="s">
        <v>181</v>
      </c>
      <c r="F214" t="s">
        <v>273</v>
      </c>
      <c r="G214" t="s">
        <v>657</v>
      </c>
    </row>
    <row r="215" spans="1:8" x14ac:dyDescent="0.25">
      <c r="A215" t="s">
        <v>123</v>
      </c>
      <c r="B215" t="s">
        <v>302</v>
      </c>
      <c r="C215" t="s">
        <v>303</v>
      </c>
      <c r="D215" t="s">
        <v>146</v>
      </c>
      <c r="E215" t="s">
        <v>181</v>
      </c>
      <c r="F215" t="s">
        <v>273</v>
      </c>
      <c r="G215" t="s">
        <v>664</v>
      </c>
      <c r="H215" t="s">
        <v>368</v>
      </c>
    </row>
    <row r="216" spans="1:8" x14ac:dyDescent="0.25">
      <c r="A216" t="s">
        <v>15</v>
      </c>
      <c r="B216" t="s">
        <v>203</v>
      </c>
      <c r="C216" t="s">
        <v>386</v>
      </c>
      <c r="D216" t="s">
        <v>148</v>
      </c>
      <c r="E216" t="s">
        <v>181</v>
      </c>
      <c r="F216" t="s">
        <v>182</v>
      </c>
      <c r="G216" t="s">
        <v>187</v>
      </c>
      <c r="H216" t="s">
        <v>368</v>
      </c>
    </row>
    <row r="217" spans="1:8" x14ac:dyDescent="0.25">
      <c r="A217" t="s">
        <v>59</v>
      </c>
      <c r="B217" t="s">
        <v>327</v>
      </c>
      <c r="C217" t="s">
        <v>328</v>
      </c>
      <c r="D217" t="s">
        <v>152</v>
      </c>
      <c r="E217" t="s">
        <v>305</v>
      </c>
      <c r="F217" t="s">
        <v>273</v>
      </c>
      <c r="G217" t="s">
        <v>286</v>
      </c>
    </row>
    <row r="218" spans="1:8" x14ac:dyDescent="0.25">
      <c r="A218" t="s">
        <v>25</v>
      </c>
      <c r="B218" t="s">
        <v>214</v>
      </c>
      <c r="C218" t="s">
        <v>395</v>
      </c>
      <c r="D218" t="s">
        <v>152</v>
      </c>
      <c r="E218" t="s">
        <v>181</v>
      </c>
      <c r="F218" t="s">
        <v>182</v>
      </c>
      <c r="G218" t="s">
        <v>183</v>
      </c>
    </row>
    <row r="219" spans="1:8" x14ac:dyDescent="0.25">
      <c r="A219" t="s">
        <v>126</v>
      </c>
      <c r="B219" t="s">
        <v>266</v>
      </c>
      <c r="C219" t="s">
        <v>446</v>
      </c>
      <c r="D219" t="s">
        <v>146</v>
      </c>
      <c r="E219" t="s">
        <v>305</v>
      </c>
      <c r="F219" t="s">
        <v>270</v>
      </c>
      <c r="G219" t="s">
        <v>665</v>
      </c>
    </row>
    <row r="220" spans="1:8" x14ac:dyDescent="0.25">
      <c r="A220" t="s">
        <v>30</v>
      </c>
      <c r="B220" t="s">
        <v>304</v>
      </c>
      <c r="C220" t="s">
        <v>307</v>
      </c>
      <c r="D220" t="s">
        <v>152</v>
      </c>
      <c r="E220" t="s">
        <v>305</v>
      </c>
      <c r="F220" t="s">
        <v>273</v>
      </c>
      <c r="G220" t="s">
        <v>694</v>
      </c>
    </row>
    <row r="221" spans="1:8" x14ac:dyDescent="0.25">
      <c r="A221" t="s">
        <v>66</v>
      </c>
      <c r="B221" t="s">
        <v>575</v>
      </c>
      <c r="C221" t="s">
        <v>333</v>
      </c>
      <c r="D221" t="s">
        <v>152</v>
      </c>
      <c r="E221" t="s">
        <v>305</v>
      </c>
      <c r="F221" t="s">
        <v>273</v>
      </c>
      <c r="G221" t="s">
        <v>695</v>
      </c>
    </row>
    <row r="222" spans="1:8" x14ac:dyDescent="0.25">
      <c r="A222" t="s">
        <v>540</v>
      </c>
      <c r="B222" t="s">
        <v>332</v>
      </c>
      <c r="C222" t="s">
        <v>576</v>
      </c>
      <c r="D222" t="s">
        <v>152</v>
      </c>
      <c r="E222" t="s">
        <v>305</v>
      </c>
      <c r="F222" t="s">
        <v>273</v>
      </c>
      <c r="G222" t="s">
        <v>695</v>
      </c>
    </row>
    <row r="223" spans="1:8" x14ac:dyDescent="0.25">
      <c r="A223" t="s">
        <v>11</v>
      </c>
      <c r="B223" t="s">
        <v>198</v>
      </c>
      <c r="C223" t="s">
        <v>382</v>
      </c>
      <c r="D223" t="s">
        <v>148</v>
      </c>
      <c r="E223" t="s">
        <v>181</v>
      </c>
      <c r="F223" t="s">
        <v>182</v>
      </c>
      <c r="G223" t="s">
        <v>199</v>
      </c>
    </row>
    <row r="224" spans="1:8" x14ac:dyDescent="0.25">
      <c r="A224" t="s">
        <v>125</v>
      </c>
      <c r="B224" t="s">
        <v>256</v>
      </c>
      <c r="C224" t="s">
        <v>436</v>
      </c>
      <c r="D224" t="s">
        <v>146</v>
      </c>
      <c r="E224" t="s">
        <v>181</v>
      </c>
      <c r="F224" t="s">
        <v>182</v>
      </c>
      <c r="G224" t="s">
        <v>212</v>
      </c>
    </row>
    <row r="225" spans="1:7" x14ac:dyDescent="0.25">
      <c r="A225" t="s">
        <v>24</v>
      </c>
      <c r="B225" t="s">
        <v>213</v>
      </c>
      <c r="C225" t="s">
        <v>394</v>
      </c>
      <c r="D225" t="s">
        <v>152</v>
      </c>
      <c r="E225" t="s">
        <v>181</v>
      </c>
      <c r="F225" t="s">
        <v>182</v>
      </c>
      <c r="G225" t="s">
        <v>183</v>
      </c>
    </row>
    <row r="226" spans="1:7" x14ac:dyDescent="0.25">
      <c r="A226" t="s">
        <v>12</v>
      </c>
      <c r="B226" t="s">
        <v>200</v>
      </c>
      <c r="C226" t="s">
        <v>383</v>
      </c>
      <c r="D226" t="s">
        <v>148</v>
      </c>
      <c r="E226" t="s">
        <v>181</v>
      </c>
      <c r="F226" t="s">
        <v>182</v>
      </c>
      <c r="G226" t="s">
        <v>183</v>
      </c>
    </row>
    <row r="227" spans="1:7" x14ac:dyDescent="0.25">
      <c r="A227" t="s">
        <v>27</v>
      </c>
      <c r="B227" t="s">
        <v>216</v>
      </c>
      <c r="C227" t="s">
        <v>397</v>
      </c>
      <c r="D227" t="s">
        <v>152</v>
      </c>
      <c r="E227" t="s">
        <v>181</v>
      </c>
      <c r="F227" t="s">
        <v>182</v>
      </c>
      <c r="G227" t="s">
        <v>183</v>
      </c>
    </row>
    <row r="228" spans="1:7" x14ac:dyDescent="0.25">
      <c r="A228" t="s">
        <v>36</v>
      </c>
      <c r="B228" t="s">
        <v>222</v>
      </c>
      <c r="C228" t="s">
        <v>402</v>
      </c>
      <c r="D228" t="s">
        <v>166</v>
      </c>
      <c r="E228" t="s">
        <v>181</v>
      </c>
      <c r="F228" t="s">
        <v>182</v>
      </c>
      <c r="G228" t="s">
        <v>221</v>
      </c>
    </row>
    <row r="229" spans="1:7" x14ac:dyDescent="0.25">
      <c r="A229" t="s">
        <v>17</v>
      </c>
      <c r="B229" t="s">
        <v>206</v>
      </c>
      <c r="C229" t="s">
        <v>388</v>
      </c>
      <c r="D229" t="s">
        <v>152</v>
      </c>
      <c r="E229" t="s">
        <v>181</v>
      </c>
      <c r="F229" t="s">
        <v>182</v>
      </c>
      <c r="G229" t="s">
        <v>205</v>
      </c>
    </row>
    <row r="230" spans="1:7" x14ac:dyDescent="0.25">
      <c r="A230" t="s">
        <v>61</v>
      </c>
      <c r="B230" t="s">
        <v>352</v>
      </c>
      <c r="C230" t="s">
        <v>353</v>
      </c>
      <c r="D230" t="s">
        <v>146</v>
      </c>
      <c r="E230" t="s">
        <v>348</v>
      </c>
      <c r="F230" t="s">
        <v>273</v>
      </c>
      <c r="G230" t="s">
        <v>650</v>
      </c>
    </row>
    <row r="231" spans="1:7" x14ac:dyDescent="0.25">
      <c r="A231" t="s">
        <v>18</v>
      </c>
      <c r="B231" t="s">
        <v>347</v>
      </c>
      <c r="C231" t="s">
        <v>349</v>
      </c>
      <c r="D231" t="s">
        <v>152</v>
      </c>
      <c r="E231" t="s">
        <v>348</v>
      </c>
      <c r="F231" t="s">
        <v>273</v>
      </c>
      <c r="G231" t="s">
        <v>650</v>
      </c>
    </row>
    <row r="232" spans="1:7" x14ac:dyDescent="0.25">
      <c r="A232" t="s">
        <v>642</v>
      </c>
      <c r="B232" t="s">
        <v>644</v>
      </c>
      <c r="C232" t="s">
        <v>643</v>
      </c>
      <c r="D232" t="s">
        <v>152</v>
      </c>
      <c r="E232" t="s">
        <v>357</v>
      </c>
      <c r="F232" t="s">
        <v>273</v>
      </c>
      <c r="G232" t="s">
        <v>639</v>
      </c>
    </row>
    <row r="237" spans="1:7" x14ac:dyDescent="0.25">
      <c r="B237" s="4"/>
    </row>
  </sheetData>
  <autoFilter ref="A1:G232" xr:uid="{BA7F80C7-9331-4DCC-B019-EA01CFA2BB49}">
    <sortState xmlns:xlrd2="http://schemas.microsoft.com/office/spreadsheetml/2017/richdata2" ref="A2:G231">
      <sortCondition ref="C1:C231"/>
    </sortState>
  </autoFilter>
  <sortState xmlns:xlrd2="http://schemas.microsoft.com/office/spreadsheetml/2017/richdata2" ref="A2:H230">
    <sortCondition ref="A23:A230"/>
  </sortState>
  <conditionalFormatting sqref="A1:A1048576">
    <cfRule type="duplicateValues" dxfId="19" priority="24"/>
  </conditionalFormatting>
  <conditionalFormatting sqref="B238:B1048576 B1:B48 B50:B236">
    <cfRule type="duplicateValues" dxfId="18" priority="15"/>
    <cfRule type="duplicateValues" dxfId="17" priority="19"/>
  </conditionalFormatting>
  <conditionalFormatting sqref="C232:C1048576 C53:C97 C1:C47 B49:C49 C101:C229">
    <cfRule type="duplicateValues" dxfId="16" priority="18"/>
  </conditionalFormatting>
  <conditionalFormatting sqref="C232:C1048576 C53:C97 C1:C47 B49:C49 C101:C230">
    <cfRule type="duplicateValues" dxfId="15" priority="16"/>
  </conditionalFormatting>
  <conditionalFormatting sqref="C230">
    <cfRule type="duplicateValues" dxfId="14" priority="17"/>
  </conditionalFormatting>
  <conditionalFormatting sqref="C50">
    <cfRule type="duplicateValues" dxfId="13" priority="13"/>
    <cfRule type="duplicateValues" dxfId="12" priority="14"/>
  </conditionalFormatting>
  <conditionalFormatting sqref="C52">
    <cfRule type="duplicateValues" dxfId="11" priority="11"/>
    <cfRule type="duplicateValues" dxfId="10" priority="12"/>
  </conditionalFormatting>
  <conditionalFormatting sqref="C51">
    <cfRule type="duplicateValues" dxfId="9" priority="9"/>
    <cfRule type="duplicateValues" dxfId="8" priority="10"/>
  </conditionalFormatting>
  <conditionalFormatting sqref="C48">
    <cfRule type="duplicateValues" dxfId="7" priority="7"/>
    <cfRule type="duplicateValues" dxfId="6" priority="8"/>
  </conditionalFormatting>
  <conditionalFormatting sqref="C98">
    <cfRule type="duplicateValues" dxfId="5" priority="5"/>
    <cfRule type="duplicateValues" dxfId="4" priority="6"/>
  </conditionalFormatting>
  <conditionalFormatting sqref="C99">
    <cfRule type="duplicateValues" dxfId="3" priority="3"/>
    <cfRule type="duplicateValues" dxfId="2" priority="4"/>
  </conditionalFormatting>
  <conditionalFormatting sqref="C10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Bloomberg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2025-06-23T11:58:37Z</dcterms:created>
  <dcterms:modified xsi:type="dcterms:W3CDTF">2025-10-15T13:36:20Z</dcterms:modified>
</cp:coreProperties>
</file>